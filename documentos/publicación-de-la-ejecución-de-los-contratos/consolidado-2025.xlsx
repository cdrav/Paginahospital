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uxcontrato\Desktop\"/>
    </mc:Choice>
  </mc:AlternateContent>
  <xr:revisionPtr revIDLastSave="0" documentId="13_ncr:1_{53F78382-B4B3-4954-BC7A-1C588C269BD5}" xr6:coauthVersionLast="47" xr6:coauthVersionMax="47" xr10:uidLastSave="{00000000-0000-0000-0000-000000000000}"/>
  <bookViews>
    <workbookView xWindow="-120" yWindow="-120" windowWidth="29040" windowHeight="16440" xr2:uid="{00000000-000D-0000-FFFF-FFFF00000000}"/>
  </bookViews>
  <sheets>
    <sheet name="CONSOLIDADO " sheetId="17" r:id="rId1"/>
  </sheets>
  <definedNames>
    <definedName name="_xlnm._FilterDatabase" localSheetId="0" hidden="1">'CONSOLIDADO '!$A$1:$P$644</definedName>
    <definedName name="_xlnm.Print_Area" localSheetId="0">'CONSOLIDADO '!$A$1:$P$644</definedName>
    <definedName name="REVISION">#REF!</definedName>
  </definedNames>
  <calcPr calcId="181029"/>
</workbook>
</file>

<file path=xl/calcChain.xml><?xml version="1.0" encoding="utf-8"?>
<calcChain xmlns="http://schemas.openxmlformats.org/spreadsheetml/2006/main">
  <c r="M34" i="17" l="1"/>
  <c r="M638" i="17" l="1"/>
  <c r="L633" i="17"/>
  <c r="M633" i="17" s="1"/>
  <c r="L632" i="17"/>
  <c r="M632" i="17" s="1"/>
  <c r="L631" i="17"/>
  <c r="M631" i="17" s="1"/>
  <c r="M626" i="17"/>
  <c r="L625" i="17"/>
  <c r="M625" i="17" s="1"/>
  <c r="L624" i="17"/>
  <c r="M624" i="17" s="1"/>
  <c r="M623" i="17"/>
  <c r="M622" i="17"/>
  <c r="M621" i="17"/>
  <c r="M620" i="17"/>
  <c r="M459" i="17"/>
  <c r="M216" i="17"/>
  <c r="M206" i="17"/>
  <c r="M197" i="17"/>
  <c r="M188" i="17"/>
  <c r="M187" i="17"/>
  <c r="M179" i="17"/>
  <c r="M158" i="17"/>
  <c r="L116" i="17"/>
  <c r="M110" i="17"/>
  <c r="M50" i="17"/>
  <c r="L48" i="17"/>
  <c r="M48" i="17" s="1"/>
  <c r="L46" i="17"/>
  <c r="M46" i="17" s="1"/>
  <c r="M41" i="17"/>
  <c r="M9" i="17"/>
  <c r="M7" i="17"/>
  <c r="M5" i="17"/>
  <c r="M2" i="17"/>
</calcChain>
</file>

<file path=xl/sharedStrings.xml><?xml version="1.0" encoding="utf-8"?>
<sst xmlns="http://schemas.openxmlformats.org/spreadsheetml/2006/main" count="3654" uniqueCount="2289">
  <si>
    <t>CONTRATO</t>
  </si>
  <si>
    <t>OBJETO</t>
  </si>
  <si>
    <t>CONTRATISTA</t>
  </si>
  <si>
    <t>NIT</t>
  </si>
  <si>
    <t>CNPS-223-2025</t>
  </si>
  <si>
    <t>PRESTACIÓN DE SERVICIOS DE APOYO A LA GESTIÓN DE PROCESOS ADMINISTRATIVOS DEL HOSPITAL DEPARTAMENTAL SAN ANTONIO ESE DE ROLDANILLO, CUBRIENDO LAS ÁREAS DE  MANTENIMIENTO DE LAS INSTALACIONES FÍSICAS Y BIENES MUEBLES, SEGÚN LAS NECESIDADES ESPECÍFICAS DE CADA DEPENDENCIA, ASEGURANDO LA PRESTACIÓN EFICIENTE DE LOS SERVICIOS OFRECIDOS POR PARTE DE LA INSTITUCIÓN A LA COMUNIDAD</t>
  </si>
  <si>
    <t>OSCAR FABIO ESPINOSA SANCHEZ</t>
  </si>
  <si>
    <t>CNPS-249-2025</t>
  </si>
  <si>
    <t>PRESTACIÓN DE SERVICIOS DE APOYO A LA GESTIÓN DE PROCESOS ADMINISTRATIVOS DEL HOSPITAL DEPARTAMENTAL SAN ANTONIO ESE DE ROLDANILLO, CUBRIENDO LAS ÁREAS DE  MANTENIMIENTO Y ASEO DE LAS INSTALACIONES FÍSICAS, SEGÚN LAS NECESIDADES ESPECÍFICAS DE CADA DEPENDENCIA, ASEGURANDO LA PRESTACIÓN EFICIENTE DE LOS SERVICIOS OFRECIDOS POR PARTE DE LA INSTITUCIÓN A LA COMUNIDAD</t>
  </si>
  <si>
    <t>JOHN FREDY CHAVERRA SERNA</t>
  </si>
  <si>
    <t>CNPS-251-2025</t>
  </si>
  <si>
    <t>PRESTACIÓN DE SERVICIOS DE APOYO A LA GESTIÓN EN LOS PROCESOS ADMINISTRATIVOS DEL HOSPITAL DEPARTAMENTAL SAN ANTONIO ESE DE ROLDANILLO, CUBRIENDO LAS ÁREAS DE  PROMOCIÓN Y PREVENCIÓN EN SALUD PARA OPTIMIZAR LA EFICIENCIA OPERATIVA, CUMPLIR CON LA NORMATIVIDAD VIGENTE, ASEGURANDO LA PRESTACIÓN EFICIENTE DE LOS SERVICIOS OFRECIDOS POR LA INSTITUCIÓN A LA COMUNIDAD.</t>
  </si>
  <si>
    <t>VANESSA XIMENA ANDRADE RUIZ</t>
  </si>
  <si>
    <t>CNPS-253-2025</t>
  </si>
  <si>
    <t>PRESTACIÓN DE SERVICIOS DE APOYO A LA GESTIÓN EN LOS PROCESOS ADMINISTRATIVOS DEL HOSPITAL DEPARTAMENTAL SAN ANTONIO ESE DE ROLDANILLO, CUBRIENDO LAS ÁREAS DE  PROMOCIÓN Y PREVENCIÓN EN SALUD PARA OPTIMIZAR LA EFICIENCIA OPERATIVA, CUMPLIR CON LA NORMATIVIDAD VIGENTE, ASEGURANDO LA PRESTACIÓN EFICIENTE DE LOS SERVICIOS OFRECIDOS POR LA INSTITUCIÓN A LA COMUNIDAD</t>
  </si>
  <si>
    <t>VIVIANA FAISURY RESTREPO ROMAN</t>
  </si>
  <si>
    <t>CNPS-254-2025</t>
  </si>
  <si>
    <t>LUZ DELIA OSORIO TORO</t>
  </si>
  <si>
    <t>CNPS-255-2025</t>
  </si>
  <si>
    <t>VICTORIA EUGENIA RUIZ ROJAS</t>
  </si>
  <si>
    <t>CNPS-257-2025</t>
  </si>
  <si>
    <t>DERLY ALEXANDRA YUSTY MANZANO</t>
  </si>
  <si>
    <t>CNPS-261-2025</t>
  </si>
  <si>
    <t>ERIKA FERNANDA TORRES SANCHEZ</t>
  </si>
  <si>
    <t>CNPS-264-2025</t>
  </si>
  <si>
    <t>MARTHA ISABEL HERRERA MARIN</t>
  </si>
  <si>
    <t>CNPS-274-2025</t>
  </si>
  <si>
    <t>LILIANA PATRICIA CASTILLO BETANCOURT</t>
  </si>
  <si>
    <t>CNPS-301-2025</t>
  </si>
  <si>
    <t>PRESTACIÓN DE SERVICIOS  DE APOYO A LA GESTIÓN COMO TÉCNICO EN AUXILIAR DE ENFERMERÍA EN EL ÁREA DE CIRUGÍA Y PARTOS DEL HOSPITAL DEPARTAMENTAL SAN ANTONIO ESE DE ROLDANILLO, PARA OPTIMIZAR LA EFICIENCIA OPERATIVA Y ASEGURAR LA PRESTACIÓN EFICIENTE DE LOS SERVICIOS OFRECIDOS POR LA INSTITUCIÓN A LA COMUNIDAD</t>
  </si>
  <si>
    <t>CRISTINA JIMENEZ RESTREPO</t>
  </si>
  <si>
    <t>CNPS-310-2025</t>
  </si>
  <si>
    <t>PRESTACIÓN DE SERVICIOS  DE APOYO A LA GESTIÓN COMO TÉCNICO EN AUXILIAR DE ENFERMERÍA EN EL ÁREA INTERNACIÓN DEL HOSPITAL DEPARTAMENTAL SAN ANTONIO ESE DE ROLDANILLO, PARA OPTIMIZAR LA EFICIENCIA OPERATIVA Y ASEGURAR LA PRESTACIÓN EFICIENTE DE LOS SERVICIOS OFRECIDOS POR LA INSTITUCIÓN A LA COMUNIDAD</t>
  </si>
  <si>
    <t>NINI JOHANA CALDERON RODRIGUEZ</t>
  </si>
  <si>
    <t>CNPS-315-2025</t>
  </si>
  <si>
    <t>PRESTACIÓN DE SERVICIOS COMO PROFESIONAL EN ENFERMERÍA, EN LAS ÁREAS DE INTERNACIÓN, Y URGENCIAS O DEMÁS ÁREAS ASIGNADAS,DEL HOSPITAL DEPARTAMENTAL SAN ANTONIO ESE DE ROLDANILLO, PARA OPTIMIZAR LA EFICIENCIA OPERATIVA Y ASEGURAR LA PRESTACIÓN EFICIENTE DE LOS SERVICIOS OFRECIDOS POR LA INSTITUCIÓN A LA COMUNIDAD</t>
  </si>
  <si>
    <t>VALENTINA HORTUA FRANCO</t>
  </si>
  <si>
    <t>CNPS-342-2025</t>
  </si>
  <si>
    <t>MAIRA ALEJANDRA BAUTISTA SERNA</t>
  </si>
  <si>
    <t>CNPS-193-2025</t>
  </si>
  <si>
    <t>PRESTACIÓN DE SERVICIOS DE APOYO A LA GESTIÓN DE PROCESOS ADMINISTRATIVOS DEL HOSPITAL DEPARTAMENTAL SAN ANTONIO ESE DE ROLDANILLO, CUBRIENDO LAS ÁREAS DE  ATENCIÓN AL CLIENTE, O CALL CENTER O LA GESTIÓN DE SISTEMAS INFORMÁTICOS, SEGÚN LAS NECESIDADES ESPECÍFICAS DE LA DEPENDENCIA ASIGNADA POR LA SUPERVISIÓN PARA OPTIMIZAR LA EFICIENCIA OPERATIVA, CUMPLIR CON LA NORMATIVIDAD VIGENTE, ASEGURANDO LA PRESTACIÓN EFICIENTE DE LOS SERVICIOS OFRECIDOS POR LA INSTITUCIÓN A LA COMUNIDAD</t>
  </si>
  <si>
    <t>ANGIE LORENA OSPINA CLAVIJO</t>
  </si>
  <si>
    <t>CNPS-194-2025</t>
  </si>
  <si>
    <t>PRESTACIÓN DE SERVICIOS DE APOYO A LA GESTIÓN DE PROCESOS ADMINISTRATIVOS DEL HOSPITAL DEPARTAMENTAL SAN ANTONIO ESE DE ROLDANILLO, QUE ABARCA LA REVISIÓN, AJUSTE DE CUENTAS MÉDICAS Y GLOSAS, O EL APOYO A LA GESTIÓN DE INVENTARIOS EN FARMACIA O APOYO A LA GESTIÓN  EL CONTROL DE ENTRADAS/SALIDAS EN ALMACÉN, O GESTIÓN CONTRACTUAL  SEGÚN  LAS NECESIDADES ESPECÍFICAS DE CADA ÁREA ASIGNADAS POR LA SUPERVISIÓN CONTRACTUAL,  PARA GARANTIZAR EFICIENCIA OPERATIVA Y CUMPLIMIENTO NORMATIVO EN LA PRESTACIÓN DE LOS SERVICIOS DE LA INSTITUCION</t>
  </si>
  <si>
    <t>CAROLINA DUQUE ROJAS</t>
  </si>
  <si>
    <t>CNPS-195-2025</t>
  </si>
  <si>
    <t>PRESTACIÓN DE SERVICIOS PROFESIONALES COMO ABOGADO ASESOR EN LA GESTIÓN DE PROCESOS ADMINISTRATIVOS, LABORALES Y DE APOYO EN ACCIONES CONSTITUCIONALES ADELANTADAS EN CONTRA DEL HOSPITAL DEPARTAMENTAL SAN ANTONIO DE ROLDANILLO ESE DE ROLDANILLO</t>
  </si>
  <si>
    <t>CAMILO ANDRES BENITEZ MADRID</t>
  </si>
  <si>
    <t>CNPS-196-2025</t>
  </si>
  <si>
    <t>CRISTIAN DAVID RUIZ ACEVEDO</t>
  </si>
  <si>
    <t>CNPS-197-2025</t>
  </si>
  <si>
    <t>PRESTACIÓN DE SERVICIOS DE APOYO A LA GESTIÓN DE PROCESOS ADMINISTRATIVOS DEL HOSPITAL DEPARTAMENTAL SAN ANTONIO ESE DE ROLDANILLO, CUBRIENDO LAS ÁREAS DE  ACCESO Y SALIDA DE LAS INSTALACIONES DEL FISICAS DONDE PRESTA SUS SERVICIOS LA INSTITUCIÓN, ASEGURANDO LA PRESTACIÓN EFICIENTE DE LOS SERVICIOS OFRECIDOS POR PARTE DE LA INSTITUCIÓN A LA COMUNIDAD</t>
  </si>
  <si>
    <t>CARLOS ANDRES GARCIA MORALES</t>
  </si>
  <si>
    <t>CNPS-198-2025</t>
  </si>
  <si>
    <t>PRESTACIÓN DE SERVICIOS DE APOYO A LA GESTIÓN DE PROCESOS ADMINISTRATIVOS DEL HOSPITAL DEPARTAMENTAL SAN ANTONIO ESE DE ROLDANILLO, QUE ABARCA LA REVISIÓN, AJUSTE DE CUENTAS MÉDICAS Y GLOSAS, O EL APOYO A LA GESTIÓN DE INVENTARIOS EN FARMACIA O APOYO A LA GESTIÓN  EL CONTROL DE ENTRADAS/SALIDAS EN ALMACÉN, O GESTIÓN CONTRACTUAL  SEGÚN  LAS NECESIDADES ESPECÍFICAS DE CADA ÁREA ASIGNADAS POR LA SUPERVISIÓN CONTRACTUAL,  PARA GARANTIZAR EFICIENCIA OPERATIVA Y CUMPLIMIENTO NORMATIVO EN LA PRESTACIÓN DE LOS SERVICIOS DE LA INSTITUCIÓN</t>
  </si>
  <si>
    <t>MARIA ALEJANDRA CASTAÑEDA MUÑOZ</t>
  </si>
  <si>
    <t>CNPS-200-2025</t>
  </si>
  <si>
    <t>ESTEFANIA GUZMAN ROMERO</t>
  </si>
  <si>
    <t>CNPS-201-2025</t>
  </si>
  <si>
    <t>PRESTACIÓN DE SERVICIOS DE APOYO ADMINISTRATIVO EN LA GESTIÓN DE LOS PROCESOS DE FACTURACIÓN DEL HOSPITAL DEPARTAMENTAL SAN ANTONIO ESE DE ROLDANILLO, ORIENTADA A OPTIMIZAR LA EFICIENCIA EN LA ATENCIÓN A LOS USUARIOS DE LOS DIFERENTES SERVICIOS INSTITUCIONALES, GARANTIZANDO EL CUMPLIMIENTO NORMATIVO Y REDUCIENDO LOS TIEMPOS DE TRÁMITE EN LAS OPERACIONES DE CONSULTA EXTERNA, URGENCIAS, CIRUGÍA Y PARTOS  O EN LAS DEMÁS ÁREAS DONDE SE REQUIERA LA PRESTACIÓN DEL SERVICIO</t>
  </si>
  <si>
    <t>ANA CRISTINA CANIZALES RIVEROS</t>
  </si>
  <si>
    <t>CNPS-202-2025</t>
  </si>
  <si>
    <t>ERIKA YULIANA REYES CARDONA</t>
  </si>
  <si>
    <t>CNPS-203-2025</t>
  </si>
  <si>
    <t>CLAUDIA LORENA FERIA PINO</t>
  </si>
  <si>
    <t>CNPS-204-2025</t>
  </si>
  <si>
    <t>LEIDY JOHANA CORREA CARDONA</t>
  </si>
  <si>
    <t>CNPS-205-2025</t>
  </si>
  <si>
    <t>SONIA LORENA COLONIA GÓMEZ</t>
  </si>
  <si>
    <t>CNPS-206-2025</t>
  </si>
  <si>
    <t>PAULA ANDREA QUINTERO GOMEZ</t>
  </si>
  <si>
    <t>CNPS-207-2025</t>
  </si>
  <si>
    <t>PRESTACIÓN DE SERVICIOS DE APOYO A LA GESTIÓN DE PROCESOS ADMINISTRATIVOS DEL HOSPITAL DEPARTAMENTAL SAN ANTONIO ESE DE ROLDANILLO, CUBRIENDO LAS ÁREAS DE  ATENCIÓN AL CLIENTE, O CALL CENTER O LA GESTIÓN DE SISTEMAS INFORMÁTICOS, SEGÚN LAS NECESIDADES ESPECÍFICAS DE LA DEPENDENCIA ASIGNADA POR LA SUPERVISIÓN PARA OPTIMIZAR LA EFICIENCIA OPERATIVA, CUMPLIR CON LA NORMATIVIDAD VIGENTE, ASEGURANDO LA PRESTACIÓN EFICIENTE DE LOS SERVICIOS OFRECIDOS POR LA INSTITUCIÓN A LA COMUNIDAD.</t>
  </si>
  <si>
    <t>KELY YOHANA PEREA VALENCIA</t>
  </si>
  <si>
    <t>CNPS-208-2025</t>
  </si>
  <si>
    <t>MARIA CRISTINA ARENAS BETANCOURT</t>
  </si>
  <si>
    <t>CNPS-209-2025</t>
  </si>
  <si>
    <t>NICOLAI ESTEBAN VALENCIA ORTEGON</t>
  </si>
  <si>
    <t>CNPS-210-2025</t>
  </si>
  <si>
    <t>NATHALIA RODRIGUEZ CARDONA</t>
  </si>
  <si>
    <t>CNPS-211-2025</t>
  </si>
  <si>
    <t>MARIA FERNANDA RAYO VERGARA</t>
  </si>
  <si>
    <t>CNPS-212-2025</t>
  </si>
  <si>
    <t>ELIANA MARIA VILLANUEVA JIMENEZ</t>
  </si>
  <si>
    <t>CNPS-213-2025</t>
  </si>
  <si>
    <t>DANIELA POSSO URDINOLA</t>
  </si>
  <si>
    <t>CNPS-214-2025</t>
  </si>
  <si>
    <t>YENI FERNANDA PEREZ ZAPATA</t>
  </si>
  <si>
    <t>CNPS-215-2025</t>
  </si>
  <si>
    <t>CAMILO BECERRA AGUIRRE</t>
  </si>
  <si>
    <t>CNPS-216-2025</t>
  </si>
  <si>
    <t>CAROLINA VALENCIA SALAZAR</t>
  </si>
  <si>
    <t>CNPS-217-2025</t>
  </si>
  <si>
    <t>PRESTACIÓN DE SERVICIOS PROFESIONALES COMO CONTADOR PÚBLICO EN LA GESTIÓN DE LOS PROCESOS COBRO Y DE CARTERA ADELANTADOS POR EL HOSPITAL DEPARTAMENTAL SAN ANTONIO DE ROLDANILLO ESE DE ROLDANILLO A LAS ENTIDADES PROMOTORAS DE SALUD EPS</t>
  </si>
  <si>
    <t>WILDER ANTONIO PINO CASTAÑO</t>
  </si>
  <si>
    <t>CNPS-218-2025</t>
  </si>
  <si>
    <t>JULIETH JHOANA CASTAÑEDA MUÑOZ</t>
  </si>
  <si>
    <t>CNPS-219-2025</t>
  </si>
  <si>
    <t>OSCAR EDUARDO RODRIGUEZ MORENO</t>
  </si>
  <si>
    <t>CNPS-220-2025</t>
  </si>
  <si>
    <t>CRISTIAN DAVID GARCIA VASQUEZ</t>
  </si>
  <si>
    <t>CNPS-221-2025</t>
  </si>
  <si>
    <t>PATRICIA PEREZ RODAS</t>
  </si>
  <si>
    <t>CNPS-222-2025</t>
  </si>
  <si>
    <t>ALEJANDRA GARCIA RODRIGUEZ</t>
  </si>
  <si>
    <t>CNPS-224-2025</t>
  </si>
  <si>
    <t>CLAUDIA LORENA SALAZAR PEREZ</t>
  </si>
  <si>
    <t>CNPS-225-2025</t>
  </si>
  <si>
    <t>ADOLFO BECERRA ROJAS</t>
  </si>
  <si>
    <t>CNPS-226-2025</t>
  </si>
  <si>
    <t>NESTOR HUGO POSADA SARRIA</t>
  </si>
  <si>
    <t>CNPS-227-2025</t>
  </si>
  <si>
    <t>LINA MARIETH PEREZ GIL</t>
  </si>
  <si>
    <t>CNPS-228-2025</t>
  </si>
  <si>
    <t>EDWARD IVAN RESTREPO PATIÑO</t>
  </si>
  <si>
    <t>CNPS-229-2025</t>
  </si>
  <si>
    <t>GLADYS CORREA MILLAN</t>
  </si>
  <si>
    <t>CNPS-230-2025</t>
  </si>
  <si>
    <t>LUIS STIVEN GIRALDO OSPINA</t>
  </si>
  <si>
    <t>CNPS-231-2025</t>
  </si>
  <si>
    <t>SOLANGEL BAÑOL</t>
  </si>
  <si>
    <t>CNPS-232-2025</t>
  </si>
  <si>
    <t>HERNAN MAURICIO DRADA CAMPO</t>
  </si>
  <si>
    <t>CNPS-233-2025</t>
  </si>
  <si>
    <t>LUZ AYDA GIRALDO LOPEZ</t>
  </si>
  <si>
    <t>CNPS-234-2025</t>
  </si>
  <si>
    <t>PRESTACIÓN DE SERVICIOS DE APOYO A LA GESTIÓN DE PROCESOS ADMINISTRATIVOS DEL HOSPITAL DEPARTAMENTAL SAN ANTONIO ESE DE ROLDANILLO, CUBRIENDO LAS ÁREAS DE  ACCESO Y SALIDA DE LAS INSTALACIONES DEL FISICAS DONDE PRESTA SUS SERVICIOS LA INSTITUCIÓN, ASEGURANDO LA PRESTACIÓN EFICIENTE DE LOS SERVICIOS OFRECIDOS POR PARTE DE LA INSTITUCIÓN A LA COMUNIDAD.</t>
  </si>
  <si>
    <t>HENRY MAURICIO QUINTERO GOMEZ</t>
  </si>
  <si>
    <t>CNPS-235-2025</t>
  </si>
  <si>
    <t>MARIA FERNANDA ESCARRIA RUIZ</t>
  </si>
  <si>
    <t>CNPS-236-2025</t>
  </si>
  <si>
    <t>MONICA PEREZ MILLAN</t>
  </si>
  <si>
    <t>CNPS-237-2025</t>
  </si>
  <si>
    <t>SANDRA MILENA DOMINGUEZ CAMPO</t>
  </si>
  <si>
    <t>CNPS-238-2025</t>
  </si>
  <si>
    <t>JAMES ANDRES SOTO VILLA</t>
  </si>
  <si>
    <t>CNPS-239-2025</t>
  </si>
  <si>
    <t>PRESTACIÓN DE SERVICIOS PROFESIONALES EN LA COORDINACIÓN, ASESORÍA Y ACOMPAÑAMIENTO EN MANTENIMIENTO DE LOS EQUIPOS BIOMÉDICOS Y DEMÁS RELACIONADOS, SEGÚN LAS NECESIDADES ESPECÍFICAS DE CADA DEPENDENCIA, ASEGURANDO LA PRESTACIÓN EFICIENTE DE LOS SERVICIOS OFRECIDOS POR PARTE DE LA INSTITUCIÓN A LA COMUNIDAD</t>
  </si>
  <si>
    <t>SEBASTIAN SARRIA VARELA</t>
  </si>
  <si>
    <t>CNPS-240-2025</t>
  </si>
  <si>
    <t>SANTIAGO CARDONA GUTIERREZ</t>
  </si>
  <si>
    <t>CNPS-241-2025</t>
  </si>
  <si>
    <t>JHON FREDY VINASCO GUZMAN</t>
  </si>
  <si>
    <t>CNPS-242-2025</t>
  </si>
  <si>
    <t>SANDRA PATRICIA CIRO ERAZO</t>
  </si>
  <si>
    <t>CNPS-243-2025</t>
  </si>
  <si>
    <t>YESSICA MARGOTH SASTRE MILLAN</t>
  </si>
  <si>
    <t>CNPS-244-2025</t>
  </si>
  <si>
    <t>ADALGISA LEMOS CARVAJAL</t>
  </si>
  <si>
    <t>CNPS-245-2025</t>
  </si>
  <si>
    <t>BIBIANA VALENCIA ORTIZ</t>
  </si>
  <si>
    <t>CNPS-246-2025</t>
  </si>
  <si>
    <t>PRESTACIÓN DE SERVICIOS DE APOYO A LA GESTIÓN DE PROCESOS ADMINISTRATIVOS DEL HOSPITAL DEPARTAMENTAL SAN ANTONIO ESE DE ROLDANILLO, CUBRIENDO LAS ÁREAS DE  MANTENIMIENTO Y ASEO DE LAS INSTALACIONES FÍSICAS, SEGÚN LAS NECESIDADES ESPECÍFICAS DE CADA DEPENDENCIA, ASEGURANDO LA PRESTACIÓN EFICIENTE DE LOS SERVICIOS OFRECIDOS POR PARTE DE LA INSTITUCIÓN A LA COMUNIDAD.</t>
  </si>
  <si>
    <t>FRANCY JOHANA SANTANDER</t>
  </si>
  <si>
    <t>CNPS-247-2025</t>
  </si>
  <si>
    <t>ALBERTO MORENO GARCIA</t>
  </si>
  <si>
    <t>CNPS-248-2025</t>
  </si>
  <si>
    <t>OLGA LUCIA PINO CASTAÑO</t>
  </si>
  <si>
    <t>CNPS-250-2025</t>
  </si>
  <si>
    <t>JENNIFER JERALDIN SANCHEZ ALVARADO</t>
  </si>
  <si>
    <t>CNPS-252-2025</t>
  </si>
  <si>
    <t>PRESTACIÓN DE SERVICIOS DE APOYO ADMINISTRATIVO EN LA GESTIÓN DE LOS PROCESOS DE FACTURACIÓN DEL HOSPITAL DEPARTAMENTAL SAN ANTONIO ESE DE ROLDANILLO, ORIENTADA A OPTIMIZAR LA EFICIENCIA EN LA ATENCIÓN A LOS USUARIOS DE LOS DIFERENTES SERVICIOS INSTITUCIONALES, GARANTIZANDO EL CUMPLIMIENTO NORMATIVO Y REDUCIENDO LOS TIEMPOS DE TRÁMITE EN LAS OPERACIONES DE CONSULTA EXTERNA, URGENCIAS, CIRUGÍA Y PARTOS  O EN LAS DEMÁS ÁREAS DONDE SE REQUIERA LA PRESTACIÓN DEL SERVICIO.</t>
  </si>
  <si>
    <t>YURY DAYANA LAVERDE VASQUEZ</t>
  </si>
  <si>
    <t>CNPS-256-2025</t>
  </si>
  <si>
    <t>YIMMY ORLANDO MEDINA CASTAÑEDA</t>
  </si>
  <si>
    <t>CNPS-258-2025</t>
  </si>
  <si>
    <t>JUAN ANDRES POSSO GARCIA</t>
  </si>
  <si>
    <t>CNPS-260-2025</t>
  </si>
  <si>
    <t>PRESTACIÓN DE SERVICIOS PROFESIONALES COMO ABOGADO ASESOR EN LA GESTIÓN DE PROCESOS ADMINISTRATIVOS Y CONTESTACIÓN DE TUTELAS Y DEMÁS ACCIONES CONSTITUCIONALES REALIZADAS EN CONTRA DEL HOSPITAL DEPARTAMENTAL SAN ANTONIO DE ROLDANILLO ESE DE ROLDANILLO</t>
  </si>
  <si>
    <t>JUAN DIEGO RAMIREZ CARDONA</t>
  </si>
  <si>
    <t>CNPS-262-2025</t>
  </si>
  <si>
    <t>MONICA ANDREA PANESSO MAYOR</t>
  </si>
  <si>
    <t>CNPS-263-2025</t>
  </si>
  <si>
    <t>SERGIO ALEJANDRO RIVERA CAMELO</t>
  </si>
  <si>
    <t>CNPS-265-2025</t>
  </si>
  <si>
    <t>ROSA HELENA AGUIRRE ARISTIZABAL</t>
  </si>
  <si>
    <t>CNPS-266-2025</t>
  </si>
  <si>
    <t>PRESTACIÓN DE SERVICIOS  DE APOYO A LA GESTIÓN CONDUCTOR DE UNO DE LOS VEHÍCULOS TIPO AMBULANCIA DEL HOSPITAL DEPARTAMENTAL SAN ANTONIO ESE DE ROLDANILLO, PARA OPTIMIZAR LA EFICIENCIA OPERATIVA Y ASEGURAR LA PRESTACIÓN EFICIENTE DE LOS SERVICIOS OFRECIDOS POR LA INSTITUCIÓN A LA COMUNIDAD</t>
  </si>
  <si>
    <t>RUBERNEY CANO VÉLEZ</t>
  </si>
  <si>
    <t>CNPS-267-2025</t>
  </si>
  <si>
    <t>ALEX GIRALDO BARRIOS</t>
  </si>
  <si>
    <t>CNPS-268-2025</t>
  </si>
  <si>
    <t>PRESTACIÓN DE SERVICIOS  DE APOYO A LA GESTIÓN COMO TÉCNICO EN AUXILIAR DE ENFERMERÍA EN LA CONFORMACIÓN DE LOS EQUIPOS DE TRIPULANTES DE VEHÍCULOS AMBULANCIA DEL HOSPITAL DEPARTAMENTAL SAN ANTONIO ESE DE ROLDANILLO, PARA OPTIMIZAR LA EFICIENCIA OPERATIVA Y ASEGURAR LA PRESTACIÓN EFICIENTE DE LOS SERVICIOS OFRECIDOS POR LA INSTITUCIÓN A LA COMUNIDAD</t>
  </si>
  <si>
    <t>JESSICA ANDREA GARCIA ARANGO</t>
  </si>
  <si>
    <t>CNPS-269-2025</t>
  </si>
  <si>
    <t>DANIEL AUGUSTO HOLGUIN JIMENEZ</t>
  </si>
  <si>
    <t>CNPS-270-2025</t>
  </si>
  <si>
    <t>ESTEBAN SALCEDO ZAPATA</t>
  </si>
  <si>
    <t>CNPS-271-2025</t>
  </si>
  <si>
    <t>WILLIAM ESTRADA MENA</t>
  </si>
  <si>
    <t>CNPS-272-2025</t>
  </si>
  <si>
    <t>PRESTACIÓN DE SERVICIOS DE APOYO A LA GESTIÓN EN LOS PROCESOS ADMINISTRATIVOS DEL HOSPITAL DEPARTAMENTAL SAN ANTONIO ESE DE ROLDANILLO, CUBRIENDO LAS ÁREAS DE  LABORATORIO - ODONTOLOGIA  EN SALUD PARA OPTIMIZAR LA EFICIENCIA OPERATIVA, CUMPLIR CON LA NORMATIVIDAD VIGENTE, ASEGURANDO LA PRESTACIÓN EFICIENTE DE LOS SERVICIOS OFRECIDOS POR LA INSTITUCIÓN A LA COMUNIDAD.</t>
  </si>
  <si>
    <t>ISABEL CRISTINA BENAVIDES RAMIREZ</t>
  </si>
  <si>
    <t>CNPS-273-2025</t>
  </si>
  <si>
    <t>LISET DAYANA CARDENAS CANO</t>
  </si>
  <si>
    <t>CNPS-275-2025</t>
  </si>
  <si>
    <t>MARIA NORALBA CARVAJAL LONDOÑO</t>
  </si>
  <si>
    <t>CNPS-276-2025</t>
  </si>
  <si>
    <t>PRESTACIÓN DE SERVICIOS DE APOYO A LA GESTIÓN EN LOS PROCESOS ADMINISTRATIVOS DEL HOSPITAL DEPARTAMENTAL SAN ANTONIO ESE DE ROLDANILLO, CUBRIENDO LAS ÁREAS DE  LABORATORIO - ODONTOLOGÍA  EN SALUD PARA OPTIMIZAR LA EFICIENCIA OPERATIVA, CUMPLIR CON LA NORMATIVIDAD VIGENTE, ASEGURANDO LA PRESTACIÓN EFICIENTE DE LOS SERVICIOS OFRECIDOS POR LA INSTITUCIÓN A LA COMUNIDAD.</t>
  </si>
  <si>
    <t>MARIA CAMILA RODRIGUEZ TORRES</t>
  </si>
  <si>
    <t>CNPS-277-2025</t>
  </si>
  <si>
    <t>PRESTACIÓN DE SERVICIOS COMO PROFESIONAL DE FISIOTERAPIA, CUBRIENDO LAS ÁREAS DE FISIOTERAPIA - REHABILITACIÓN - TERAPIA FÍSICA,DEL HOSPITAL DEPARTAMENTAL SAN ANTONIO ESE DE ROLDANILLO, PARA OPTIMIZAR LA EFICIENCIA OPERATIVA Y ASEGURAR LA PRESTACIÓN EFICIENTE DE LOS SERVICIOS OFRECIDOS POR LA INSTITUCIÓN A LA COMUNIDAD</t>
  </si>
  <si>
    <t>DAVID ANDRES CABRERA ALONSO</t>
  </si>
  <si>
    <t>CNPS-278-2025</t>
  </si>
  <si>
    <t>PRESTACIÓN DE SERVICIOS COMO PROFESIONAL EN PSICOLOGÍA, EN LAS ÁREAS DE CONSULTA EXTERNA, PROMOCIÓN Y PREVENCIÓN Y DEMÁS ÁREAS ASIGNADAS,DEL HOSPITAL DEPARTAMENTAL SAN ANTONIO ESE DE ROLDANILLO, PARA OPTIMIZAR LA EFICIENCIA OPERATIVA Y ASEGURAR LA PRESTACIÓN EFICIENTE DE LOS SERVICIOS OFRECIDOS POR LA INSTITUCIÓN A LA COMUNIDAD</t>
  </si>
  <si>
    <t>LAURA CECILIA JIMENEZ LOPEZ</t>
  </si>
  <si>
    <t>CNPS-279-2025</t>
  </si>
  <si>
    <t>JUAN PABLO HOLGUIN GUZMAN</t>
  </si>
  <si>
    <t>CNPS-280-2025</t>
  </si>
  <si>
    <t>PRESTACIÓN DE SERVICIOS COMO PROFESIONAL EN INSTRUMENTACIÓN QUIRÚRGICA, EN EL ÁREA DE CIRUGÍA Y PARTOS,DEL HOSPITAL DEPARTAMENTAL SAN ANTONIO ESE DE ROLDANILLO, PARA OPTIMIZAR LA EFICIENCIA OPERATIVA Y ASEGURAR LA PRESTACIÓN EFICIENTE DE LOS SERVICIOS OFRECIDOS POR LA INSTITUCIÓN A LA COMUNIDAD</t>
  </si>
  <si>
    <t>ANDREA SILVANA VIDARTE TAMAYO</t>
  </si>
  <si>
    <t>CNPS-281-2025</t>
  </si>
  <si>
    <t>DIANA PATRICIA MUÑOZ VINASCO</t>
  </si>
  <si>
    <t>CNPS-282-2025</t>
  </si>
  <si>
    <t>PRESTACIÓN DE SERVICIOS  DE APOYO A LA GESTIÓN COMO TÉCNICO EN AUXILIAR DE ENFERMERÍA EN EL ÁREA DE URGENCIAS DEL HOSPITAL DEPARTAMENTAL SAN ANTONIO ESE DE ROLDANILLO, PARA OPTIMIZAR LA EFICIENCIA OPERATIVA Y ASEGURAR LA PRESTACIÓN EFICIENTE DE LOS SERVICIOS OFRECIDOS POR LA INSTITUCIÓN A LA COMUNIDAD</t>
  </si>
  <si>
    <t>OMAR DE JESUS BEDOYA GIRALDO</t>
  </si>
  <si>
    <t>CNPS-283-2025</t>
  </si>
  <si>
    <t>AURELINA CANIZALES RIVEROS</t>
  </si>
  <si>
    <t>CNPS-284-2025</t>
  </si>
  <si>
    <t>JHOJAN DAVID JIMENEZ MENDOZA</t>
  </si>
  <si>
    <t>CNPS-285-2025</t>
  </si>
  <si>
    <t>MELISSA MAYOR ROMERO</t>
  </si>
  <si>
    <t>CNPS-286-2025</t>
  </si>
  <si>
    <t>VALERIA PADILLA VASQUEZ</t>
  </si>
  <si>
    <t>CNPS-287-2025</t>
  </si>
  <si>
    <t>ANGELA MARIA GARCIA VASQUEZ</t>
  </si>
  <si>
    <t>CNPS-288-2025</t>
  </si>
  <si>
    <t>ALEJANDRO SOLARTE VARELA</t>
  </si>
  <si>
    <t>CNPS-289-2025</t>
  </si>
  <si>
    <t>JHOAN LEANDRO MUÑOZ ZAPATA</t>
  </si>
  <si>
    <t>CNPS-290-2025</t>
  </si>
  <si>
    <t>SEBASTIAN MENDEZ GOMEZ</t>
  </si>
  <si>
    <t>CNPS-291-2025</t>
  </si>
  <si>
    <t>ERIKA MARCELA GRAJALES</t>
  </si>
  <si>
    <t>CNPS-292-2025</t>
  </si>
  <si>
    <t>PRESTACIÓN DE SERVICIOS COMO PROFESIONAL DE ODONTOLOGÍA, EN EL ÁREA DE ODONTOLOGÍA,DEL HOSPITAL DEPARTAMENTAL SAN ANTONIO ESE DE ROLDANILLO, PARA OPTIMIZAR LA EFICIENCIA OPERATIVA Y ASEGURAR LA PRESTACIÓN EFICIENTE DE LOS SERVICIOS OFRECIDOS POR LA INSTITUCIÓN A LA COMUNIDAD</t>
  </si>
  <si>
    <t>BRIANNA VIVIAN ROJAS TIMANA</t>
  </si>
  <si>
    <t>CNPS-293-2025</t>
  </si>
  <si>
    <t>ANA MARIA NIETO RODRIGUEZ</t>
  </si>
  <si>
    <t>CNPS-294-2025</t>
  </si>
  <si>
    <t>JOSE DANIEL ROMERO RIOS</t>
  </si>
  <si>
    <t>CNPS-295-2025</t>
  </si>
  <si>
    <t>JESSICA ANDREA QUINTANA FRANCO</t>
  </si>
  <si>
    <t>CNPS-296-2025</t>
  </si>
  <si>
    <t>BEATRIZ ELENA OSORIO ALVAREZ</t>
  </si>
  <si>
    <t>CNPS-297-2025</t>
  </si>
  <si>
    <t>YUDY TATIANA ECHEVERRY DUSSAN</t>
  </si>
  <si>
    <t>CNPS-298-2025</t>
  </si>
  <si>
    <t>YULY ISAZA</t>
  </si>
  <si>
    <t>CNPS-299-2025</t>
  </si>
  <si>
    <t>DANIEL ALEXIS GARCIA ESPINOSA</t>
  </si>
  <si>
    <t>CNPS-300-2025</t>
  </si>
  <si>
    <t>HENRY ORLANDO SALAZAR RANGEL</t>
  </si>
  <si>
    <t>CNPS-302-2025</t>
  </si>
  <si>
    <t>FRANCIA ELENA TRIVIÑO PERILLA</t>
  </si>
  <si>
    <t>CNPS-303-2025</t>
  </si>
  <si>
    <t>ISABEL CRISTINA RENGIFO VASQUEZ</t>
  </si>
  <si>
    <t>CNPS-304-2025</t>
  </si>
  <si>
    <t>PRESTACIÓN DE SERVICIOS DE APOYO A LA GESTIÓN EN LOS PROCESOS ADMINISTRATIVOS DEL HOSPITAL DEPARTAMENTAL SAN ANTONIO ESE DE ROLDANILLO, CUBRIENDO LAS ÁREAS DE  LABORATORIO - ODONTOLOGIA  EN SALUD PARA OPTIMIZAR LA EFICIENCIA OPERATIVA, CUMPLIR CON LA NORMATIVIDAD VIGENTE, ASEGURANDO LA PRESTACIÓN EFICIENTE DE LOS SERVICIOS OFRECIDOS POR LA INSTITUCIÓN A LA COMUNIDAD</t>
  </si>
  <si>
    <t>SANDRA LORENA MORALES CAMPO</t>
  </si>
  <si>
    <t>CNPS-305-2025</t>
  </si>
  <si>
    <t>VALENTINA GIRALDO FLOREZ</t>
  </si>
  <si>
    <t>CNPS-306-2025</t>
  </si>
  <si>
    <t>LEIDY MARITZA GARCIA PADILLA</t>
  </si>
  <si>
    <t>CNPS-307-2025</t>
  </si>
  <si>
    <t>FREDY ACEVEDO LOPEZ</t>
  </si>
  <si>
    <t>CNPS-308-2025</t>
  </si>
  <si>
    <t>PRESTACIÓN DE SERVICIOS  DE APOYO A LA GESTIÓN COMO TÉCNICO EN LAS ÁREAS DE FISIOTERAPIA - REHABILITACIÓN - TERAPIA FÍSICA,DEL HOSPITAL DEPARTAMENTAL SAN ANTONIO ESE DE ROLDANILLO, PARA OPTIMIZAR LA EFICIENCIA OPERATIVA Y ASEGURAR LA PRESTACIÓN EFICIENTE DE LOS SERVICIOS OFRECIDOS POR LA INSTITUCIÓN A LA COMUNIDAD</t>
  </si>
  <si>
    <t>EDUARDO JOSE MUÑOZ CASTILLO</t>
  </si>
  <si>
    <t>CNPS-309-2025</t>
  </si>
  <si>
    <t>YAQUELINE CLAVIJO TORRES</t>
  </si>
  <si>
    <t>CNPS-311-2025</t>
  </si>
  <si>
    <t>BERTHA RUIZ PANESSO</t>
  </si>
  <si>
    <t>CNPS-312-2025</t>
  </si>
  <si>
    <t>YERLIN VANESSA BLANDON AMORTEGUI</t>
  </si>
  <si>
    <t>CNPS-313-2025</t>
  </si>
  <si>
    <t>PAULA ANDREA VALLEJO PESCADOR</t>
  </si>
  <si>
    <t>CNPS-314-2025</t>
  </si>
  <si>
    <t>ELIANA VIVAS VALENCIA</t>
  </si>
  <si>
    <t>CNPS-316-2025</t>
  </si>
  <si>
    <t>PRESTACIÓN DE SERVICIOS COMO PROFESIONAL EN ENFERMERÍA, EN LAS ÁREAS DE INTERNACIÓN, URGENCIAS Y TRIAGE O DEMÁS ÁREAS ASIGNADAS,DEL HOSPITAL DEPARTAMENTAL SAN ANTONIO ESE DE ROLDANILLO, PARA OPTIMIZAR LA EFICIENCIA OPERATIVA Y ASEGURAR LA PRESTACIÓN EFICIENTE DE LOS SERVICIOS OFRECIDOS POR LA INSTITUCIÓN A LA COMUNIDAD</t>
  </si>
  <si>
    <t>NATALIA ANDREA SUAREZ MORALES</t>
  </si>
  <si>
    <t>CNPS-317-2025</t>
  </si>
  <si>
    <t>MARLENE VILLAMIL ACOSTA</t>
  </si>
  <si>
    <t>CNPS-318-2025</t>
  </si>
  <si>
    <t>PRESTACIÓN DE SERVICIOS COMO PROFESIONAL EN BACTERIOLOGÍA, EN LAS ÁREAS DE LABORATORIO, DEL HOSPITAL DEPARTAMENTAL SAN ANTONIO ESE DE ROLDANILLO, PARA OPTIMIZAR LA EFICIENCIA OPERATIVA Y ASEGURAR LA PRESTACIÓN EFICIENTE DE LOS SERVICIOS OFRECIDOS POR LA INSTITUCIÓN A LA COMUNIDAD</t>
  </si>
  <si>
    <t>BERTHA LUCIA TASCON DE LA CRUZ</t>
  </si>
  <si>
    <t>CNPS-319-2025</t>
  </si>
  <si>
    <t>LUZ KARIME HERNANDEZ HURTADO</t>
  </si>
  <si>
    <t>CNPS-320-2025</t>
  </si>
  <si>
    <t>SANTIAGO SARRIA VARELA</t>
  </si>
  <si>
    <t>CNPS-321-2025</t>
  </si>
  <si>
    <t>CLAUDIA CECILIA VELEZ SUAREZ</t>
  </si>
  <si>
    <t>CNPS-322-2025</t>
  </si>
  <si>
    <t>PRESTACIÓN DE SERVICIOS COMO PROFESIONAL EN ENFERMERIA, EN LAS ÁREAS DE CIRUGIA Y PARTOS O DEMAS AREAS ASIGNADAS,DEL HOSPITAL DEPARTAMENTAL SAN ANTONIO ESE DE ROLDANILLO, PARA OPTIMIZAR LA EFICIENCIA OPERATIVAY ASEGURAR LA PRESTACIÓN EFICIENTE DE LOS SERVICIOS OFRECIDOS POR LA INSTITUCIÓN A LA COMUNIDAD</t>
  </si>
  <si>
    <t>DALILA IBARRA BERMUDEZ</t>
  </si>
  <si>
    <t>CNPS-323-2025</t>
  </si>
  <si>
    <t>MELISSA DURLANDY GALEANO DRADA</t>
  </si>
  <si>
    <t>CNPS-324-2025</t>
  </si>
  <si>
    <t>ANA MARIA GARCIA VALENCIA</t>
  </si>
  <si>
    <t>CNPS-325-2025</t>
  </si>
  <si>
    <t>PRESTACIÓN DE SERVICIOS COMO PROFESIONAL EN ENFERMERÍA, EN LAS ÁREAS DE CONSULTA EXTERNA O DEMÁS ÁREAS ASIGNADAS,DEL HOSPITAL DEPARTAMENTAL SAN ANTONIO ESE DE ROLDANILLO, PARA OPTIMIZAR LA EFICIENCIA OPERATIVA Y ASEGURAR LA PRESTACIÓN EFICIENTE DE LOS SERVICIOS OFRECIDOS POR LA INSTITUCIÓN A LA COMUNIDAD</t>
  </si>
  <si>
    <t>NATHALY JHOANA ROJAS GIRALDO</t>
  </si>
  <si>
    <t>CNPS-326-2025</t>
  </si>
  <si>
    <t>CLARA INES DE LA CRUZ MONTOYA</t>
  </si>
  <si>
    <t>CNPS-327-2025</t>
  </si>
  <si>
    <t>INGRID VANESSA GARCIA CASTILLO</t>
  </si>
  <si>
    <t>CNPS-328-2025</t>
  </si>
  <si>
    <t>EDNA YULADY TREJOS VERGARA</t>
  </si>
  <si>
    <t>CNPS-329-2025</t>
  </si>
  <si>
    <t>ANGY DANIELA GIRALDO PINO</t>
  </si>
  <si>
    <t>CNPS-330-2025</t>
  </si>
  <si>
    <t>PRESTACIÓN DE SERVICIOS  DE APOYO A LA GESTIÓN CONDUCTOR DE UNO DE LOS VEHICULOS TIPO AMBULANCIA DEL HOSPITAL DEPARTAMENTAL SAN ANTONIO ESE DE ROLDANILLO, PARA OPTIMIZAR LA EFICIENCIA OPERATIVAY ASEGURAR LA PRESTACIÓN EFICIENTE DE LOS SERVICIOS OFRECIDOS POR LA INSTITUCIÓN A LA COMUNIDAD</t>
  </si>
  <si>
    <t>EDILSON ANTONIO CARDONA GIRALDO</t>
  </si>
  <si>
    <t>CNPS-331-2025</t>
  </si>
  <si>
    <t>CLAUDIA MELISA TASCON DE LA CRUZ</t>
  </si>
  <si>
    <t>CNPS-332-2025</t>
  </si>
  <si>
    <t>PRESTACIÓN DE SERVICIOS COMO PROFESIONAL EN ENFERMERIA, EN LAS ÁREAS DE INTERNACIÓN, Y URGENCIAS O DEMAS AREAS ASIGNADAS, DEL HOSPITAL DEPARTAMENTAL SAN ANTONIO ESE DE ROLDANILLO, PARA OPTIMIZAR LA EFICIENCIA OPERATIVA Y ASEGURAR LA PRESTACIÓN EFICIENTE DE LOS SERVICIOS OFRECIDOS POR LA INSTITUCIÓN A LA COMUNIDAD</t>
  </si>
  <si>
    <t>LAURA MARCELA PEÑA PATIÑO</t>
  </si>
  <si>
    <t>CNPS-333-2025</t>
  </si>
  <si>
    <t>PRESTACIÓN DE SERVICIOS COMO PROFESIONAL EN ENFERMERIA, EN LAS ÁREAS DE CONSULTA EXTERNA O DEMAS AREAS ASIGNADAS,DEL HOSPITAL DEPARTAMENTAL SAN ANTONIO ESE DE ROLDANILLO, PARA OPTIMIZAR LA EFICIENCIA OPERATIVAY ASEGURAR LA PRESTACIÓN EFICIENTE DE LOS SERVICIOS OFRECIDOS POR LA INSTITUCIÓN A LA COMUNIDAD</t>
  </si>
  <si>
    <t>YESSICA NATALIA BARRETO CASTRO</t>
  </si>
  <si>
    <t>CNPS-334-2025</t>
  </si>
  <si>
    <t>PRESTACIÓN DE SERVICIOS COMO PROFESIONAL EN PSICOLOGIA, EN LAS ÁREAS DE CONSULTA EXTERNA, PROMOCION Y PREVENCIÓN Y DEMAS AREAS ASIGNADAS,DEL HOSPITAL DEPARTAMENTAL SAN ANTONIO ESE DE ROLDANILLO, PARA OPTIMIZAR LA EFICIENCIA OPERATIVAY ASEGURAR LA PRESTACIÓN EFICIENTE DE LOS SERVICIOS OFRECIDOS POR LA INSTITUCIÓN A LA COMUNIDAD</t>
  </si>
  <si>
    <t>ANDRÉS FELIPE GARCIA PIEDRAHITA</t>
  </si>
  <si>
    <t>CNPS-335-2025</t>
  </si>
  <si>
    <t>PRESTACIÓN DE SERVICIOS COMO PROFESIONAL EN BATERIOLOGIA, EN LAS ÁREAS DE LABORATORIO, DEL HOSPITAL DEPARTAMENTAL SAN ANTONIO ESE DE ROLDANILLO, PARA OPTIMIZAR LA EFICIENCIA OPERATIVAY ASEGURAR LA PRESTACIÓN EFICIENTE DE LOS SERVICIOS OFRECIDOS POR LA INSTITUCIÓN A LA COMUNIDAD</t>
  </si>
  <si>
    <t>LAURA DANIELA CARDONA AGUDELO</t>
  </si>
  <si>
    <t>CNPS-336-2025</t>
  </si>
  <si>
    <t>PRESTACIÓN DE SERVICIOS COMO PROFESIONAL EN ENFERMERIA, EN LAS ÁREAS DE PROMOCIÓN Y PREVENCIÓN O DEMAS AREAS ASIGNADAS,DEL HOSPITAL DEPARTAMENTAL SAN ANTONIO ESE DE ROLDANILLO, PARA OPTIMIZAR LA EFICIENCIA OPERATIVAY ASEGURAR LA PRESTACIÓN EFICIENTE DE LOS SERVICIOS OFRECIDOS POR LA INSTITUCIÓN A LA COMUNIDAD</t>
  </si>
  <si>
    <t>DIANA MARCELA BENITEZ REYES</t>
  </si>
  <si>
    <t>CNPS-337-2025</t>
  </si>
  <si>
    <t>PRESTACIÓN DE SERVICIOS  DE APOYO A LA GESTIÓN COMO TÉCNICO EN LAS ÁREAS DE RAYOS X E IMAGENOLOGIA, DEL HOSPITAL DEPARTAMENTAL SAN ANTONIO ESE DE ROLDANILLO, PARA OPTIMIZAR LA EFICIENCIA OPERATIVA Y ASEGURAR LA PRESTACIÓN EFICIENTE DE LOS SERVICIOS OFRECIDOS POR LA INSTITUCIÓN A LA COMUNIDAD</t>
  </si>
  <si>
    <t>ERIKA ALEJANDRA ZURA VELARDE</t>
  </si>
  <si>
    <t>CNPS-338-2025</t>
  </si>
  <si>
    <t>PRESTACIÓN DE SERVICIOS  DE APOYO A LA GESTIÓN COMO TÉCNICO EN AUXILIAR DE ENFERMERIA EN EL ÁREA DE URGENCIAS DEL HOSPITAL DEPARTAMENTAL SAN ANTONIO ESE DE ROLDANILLO, PARA OPTIMIZAR LA EFICIENCIA OPERATIVAY ASEGURAR LA PRESTACIÓN EFICIENTE DE LOS SERVICIOS OFRECIDOS POR LA INSTITUCIÓN A LA COMUNIDAD</t>
  </si>
  <si>
    <t>LIANA KARINA CHAMORRO BEDOYA</t>
  </si>
  <si>
    <t>CNPS-339-2025</t>
  </si>
  <si>
    <t>PRESTACIÓN DE SERVICIOS DE APOYO A LA GESTIÓN COMO TÉCNICO EN AUXILIAR DE ENFERMERIA EN EL CENTRAL DE MATERIALES (ESTERILIZACION) DEL HOSPITAL DEPARTAMENTAL SAN ANTONIO ESE DE ROLDANILLO, PARA OPTIMIZAR LA EFICIENCIA OPERATIVAY ASEGURAR LA PRESTACIÓN EFICIENTE DE LOS SERVICIOS OFRECIDOS POR LA INSTITUCIÓN A LA COMUNIDAD</t>
  </si>
  <si>
    <t>NARDA YANETH OSORIO SASTOQUE</t>
  </si>
  <si>
    <t>CNPS-340-2025</t>
  </si>
  <si>
    <t>PRESTACIÓN DE SERVICIOS  DE APOYO A LA GESTIÓN COMO TÉCNICO EN LAS ÁREAS DE RAYOS X E IMAGENOLOGIA,DEL HOSPITAL DEPARTAMENTAL SAN ANTONIO ESE DE ROLDANILLO, PARA OPTIMIZAR LA EFICIENCIA OPERATIVA Y ASEGURAR LA PRESTACIÓN EFICIENTE DE LOS SERVICIOS OFRECIDOS POR LA INSTITUCIÓN A LA COMUNIDAD</t>
  </si>
  <si>
    <t>MARIA CONSUELO ESCARRIA GARCIA</t>
  </si>
  <si>
    <t>CNPS-341-2025</t>
  </si>
  <si>
    <t>CAROLINA RIVERA SUAREZ</t>
  </si>
  <si>
    <t>CNPS-347-2025</t>
  </si>
  <si>
    <t>YESSICA ANDRÉA ÁRIAS CASTRO</t>
  </si>
  <si>
    <t>CNPS-351-2025</t>
  </si>
  <si>
    <t>LEIDY NURY DAZA TORRES</t>
  </si>
  <si>
    <t>CNPS-352-2025</t>
  </si>
  <si>
    <t>MARY LUZ CARO ROGELIS</t>
  </si>
  <si>
    <t>SUPERVISOR</t>
  </si>
  <si>
    <t>ALEYDA JISSELA BASTIDAS</t>
  </si>
  <si>
    <t>JULIÁN HUMBERTO VÉLEZ VARELA</t>
  </si>
  <si>
    <t>ALTABASE S.A.S.</t>
  </si>
  <si>
    <t>901393703-3</t>
  </si>
  <si>
    <t>ROBERT ANTONIO GIRALDO RUIZ</t>
  </si>
  <si>
    <t xml:space="preserve">ANDRES RICARDO HERNANDEZ ARIAS </t>
  </si>
  <si>
    <t>ARRENDAMIENTO DE VEHÍCULO AUTOMOTOR PARA TRASLADO ASISTENCIAL BÁSICO (TAB) DE USUARIOS DEL HOSPITAL DEPARTAMENTAL SAN ANTONIO E.S.E. DE ROLDANILLO VALLE</t>
  </si>
  <si>
    <t>ASISTMED AMB S.A.S.</t>
  </si>
  <si>
    <t>901245722-1</t>
  </si>
  <si>
    <t>YARAVI MAITE LLANOS GOMEZ</t>
  </si>
  <si>
    <t>PRESTACIÓN DE SERVICIO DE MAMOGRAFÍA EN EL HOSPITAL DEPARTAMENTAL SAN ANTONIO E.S.E. DE ROLDANILLO VALLE</t>
  </si>
  <si>
    <t>PRESTACIÓN DE SERVICIOS DE MANTENIMIENTO Y REPARACIÓN A TODO COSTO DE LOS VEHÍCULOS ASISTENCIALES Y ADMINISTRATIVOS PERTENECIENTES AL PARQUE AUTOMOTOR DEL HOSPITAL DEPARTAMENTAL SAN ANTONIO E.S.E. DE ROLDANILLO VALLE</t>
  </si>
  <si>
    <t>AUTONORTE MEJÍA MARÍN S.A.S.</t>
  </si>
  <si>
    <t>901483290-1</t>
  </si>
  <si>
    <t>PRESTACIÓN DE SERVICIOS EN EL PROCESAMIENTO, ANÁLISIS Y RESULTADOS DE PRUEBAS DE LABORATORIO CLÍNICO EN EL HOSPITAL DEPARTAMENTAL SAN ANTONIO ESE DE ROLDANILLO VALLE DEL CAUCA</t>
  </si>
  <si>
    <t>PRESTACIÓN DE SERVICIOS PROFESIONALES COMO PROFESIONAL ENFERMERÍA EN LA OPERACIÓN DE UNO DE LOS EQUIPOS BÁSICOS DE SALUD EN EL FORTALECIMIENTO DE LA GESTIÓN TERRITORIAL BASADA EN ATENCIÓN PRIMARIA EN SALUD - APS EN EL MARCO DE LA IMPLEMENTACIÓN DEL MODELO DE SALUD PREVENTIVO Y PREDICTIVO PARA AVANZAR EN LA GARANTIA DEL DERECHO FUNDAMENTAL A LA SALUD EN EL MUNICIPIO DE ROLDANILLO, VALLE DEL CAUCA</t>
  </si>
  <si>
    <t>CAROLINA BALLADALES GALEANO</t>
  </si>
  <si>
    <t>CAROLINA GOMEZ FRANCO</t>
  </si>
  <si>
    <t>CASA DE LA DIABETES CALI LTDA</t>
  </si>
  <si>
    <t>900164981-9</t>
  </si>
  <si>
    <t>DANIELA MORENO MURCIA</t>
  </si>
  <si>
    <t>SUMINISTRO DE INSUMOS, ELEMENTOS Y REACTIVOS DE LABORATORIO CLÍNICO PARA EL HOSPITAL DEPARTAMENTAL SAN ANTONIO DE ROLDANILLO VALLE</t>
  </si>
  <si>
    <t>COMPRA DE INSUMOS NECESARIOS PARA LA OPERACIÓN DEL SERVICIO DE ODONTOLOGÍA DEL HOSPITAL DEPARTAMENTAL SAN ANTONIO E.S.E. DE ROLDANILLO VALLE</t>
  </si>
  <si>
    <t>CASA DENTAL EDUARDO DAZA LTDA</t>
  </si>
  <si>
    <t>800071243-9</t>
  </si>
  <si>
    <t>800202146-6</t>
  </si>
  <si>
    <t>CINDY JULIETH MOREALES PALOMINO</t>
  </si>
  <si>
    <t xml:space="preserve">PRESTACIÓN DE SERVICIOS EN MEDICINA ESPECIALIZADA EN ORTOPEDIA Y TRAUMATOLOGÍA EN EL HOSPITAL DEPARTAMENTAL SAN ANTONIO E.S.E </t>
  </si>
  <si>
    <t>CIRUGÍA RECONSTRUCTIVA Y PROTESIS ARTICULARES CRP S.A.S.</t>
  </si>
  <si>
    <t>900209883-0</t>
  </si>
  <si>
    <t>SUMINISTRO DE ALIMENTOS, GRANOS Y ABORROTES REQUERIDO EN EL HOSPITAL DEPARTAMENTAL SAN ANTONIO DE ROLDANILLO</t>
  </si>
  <si>
    <t>CLAUDIA MARCELA SOTO BUSTAMANTE</t>
  </si>
  <si>
    <t>DANIELA PATIÑO RAMIREZ</t>
  </si>
  <si>
    <t>DANIELA VÉLEZ LÓPEZ</t>
  </si>
  <si>
    <t>SERVICIO DE ACCESO A LA PLATAFORMA INSPEKTOR, PARA LA CONSULTA, VERIFICACIÓN Y ANÁLISIS DE TERCEROS QUE TIENEN ALGUNA RELACIÓN CONTRACTUAL, LABORAL, COMERCIAL O ASIMILADA CON EL HOSPITAL DEPARTAMENTAL SAN ANTONIO DE ROLDANILLO E.S.E EN LISTAS RESTRICTIVAS (SARLAFT), NEGATIVAS, VINCULANTES, INFORMATIVAS Y DE PERSONAS EXPUESTAS POLÍTICAMENTE</t>
  </si>
  <si>
    <t>DATALAFT S.A.S.</t>
  </si>
  <si>
    <t>901006430-1</t>
  </si>
  <si>
    <t>DEICY LORENA REYES PÉREZ</t>
  </si>
  <si>
    <t>PRESTACIÓN DE SERVICIOS PROFESIONALES COMO PROFESIONAL EN PSICOLOGÍA EN LA OPERACIÓN DE UNO DE LOS EQUIPOS BÁSICOS DE SALUD EN EL FORTALECIMIENTO DE LA GESTIÓN TERRITORIAL BASADA EN ATENCIÓN PRIMARIA DE SALUD – APS EN EL MARCO DE LA IMPLEMENTACIÓN DEL MODELO DE SALUD PREVENTIVO Y PREDICTIVO PARA AVANZAR EN LA GARANTÍA DEL DERECHO FUNDAMENTAL A LA SALUD EN EL MUNICIPIO DE ROLDANILLO VALLE DEL CAUCA</t>
  </si>
  <si>
    <t>DIANA CAROLINA PÉREZ GAVIRIA</t>
  </si>
  <si>
    <t>1116445741-1</t>
  </si>
  <si>
    <t>DIANA KATHERINE GAVIRIA VALENCIA</t>
  </si>
  <si>
    <t>ADQUISICIÓN DE DOTACIÓN PARA LOS SERVIDORES PÚBLICOS DEL HOSPITAL DEPARTAMENTAL SAN ANTONIO  DE ROLDANILLO, EN CUMPLIMIENTO DE LA LEY 70 DE 1988 Y EL DECRETO 1978 DE 1989</t>
  </si>
  <si>
    <t>DIANA LORENA SASTRE GARZÓN</t>
  </si>
  <si>
    <t>29775354-3</t>
  </si>
  <si>
    <t>DIANA PATRICIA HERNÁNDEZ GUZMÁN</t>
  </si>
  <si>
    <t>DIEGO FRANCISCO ZORRILLA ARANA</t>
  </si>
  <si>
    <t>OSCAR ORLEY ROMERO</t>
  </si>
  <si>
    <t>PRESTACIÓN DE SERVICIOS PARA LA REALIZACIÓN DE ACTIVIDADES DE METROLOGÍA DE EQUIPOS BIOMÉDICOS DEL HOSPITAL DEPARTAMENTAL SAN ANTONIO E.S.E. DE ROLDANILLO VALLE</t>
  </si>
  <si>
    <t>DISTRIBUIDORA DE MEDICAMENTOS E INSUMOS HOSPITALARIOS DISMEDIHS S.A.S</t>
  </si>
  <si>
    <t>900877335-0</t>
  </si>
  <si>
    <t>SUMINISTRO DE REPUESTOS Y ACCESORIOS DE EQUIPOS BIOMÉDICOS REQUERIDOS EN EL HOSPITAL DEPARTAMENTAL SAN ANTONIO E.S.E. DE ROLDANILLO VALLE</t>
  </si>
  <si>
    <t>ELIANA DANIELA GARCÍA RAIGOSA</t>
  </si>
  <si>
    <t>ELIZABETH CASTILLO LEMOS</t>
  </si>
  <si>
    <t>EQUIPADORA MÉDICA S.A.</t>
  </si>
  <si>
    <t>805021699-8</t>
  </si>
  <si>
    <t>SUMINISTRO DE SANGRE, HEMODERIVADOS Y/O COMPONENTES DE LA MISMA</t>
  </si>
  <si>
    <t>FUNDACIÓN BANCO NACIONAL DE SANGRE HEMOLIFE</t>
  </si>
  <si>
    <t>GESTIÓN INTEGRAL DEL SERVICIO FARMACÉUTICO QUE INCLUYE LA ADQUISICIÓN, RECEPCIÓN,  ALMACENAMIENTO, DISPENSACIÓN Y SUMINISTRO DE MEDICAMENTOS E INSUMOS MEDICO QUIRÚRGICOS ADEMAS DE LAS ACCIONES DE COMITÉ DE FARMACIA, FARMACOVIGILANCIA Y TECNOVIGILANCIA DE INSUMOS Y DISPOSITIVOS MÉDICOS</t>
  </si>
  <si>
    <t>FUNDACIÓN CIUDAD INTEGRAL - FUNCINTE</t>
  </si>
  <si>
    <t>900711802-6</t>
  </si>
  <si>
    <t>FUNDACION GRUPO DE RESISTENCIA ANTIBIOTICA DE MANIZALES</t>
  </si>
  <si>
    <t>901326522-1</t>
  </si>
  <si>
    <t>FUNDASUM</t>
  </si>
  <si>
    <t>901162570-1</t>
  </si>
  <si>
    <t>GLORIA ISABEL LOPEZ ZAPATA</t>
  </si>
  <si>
    <t>GLORIA XIMENA ROSO CUERVO</t>
  </si>
  <si>
    <t>HEALTH RADIOLOGY S.A.S.</t>
  </si>
  <si>
    <t>901504496-1</t>
  </si>
  <si>
    <t>SUMINISTRO DE COMBUSTIBLES, FILTROS, LUBRICANTES, ACCESORIOS, Y SERVICIOS BÁSICOS DE LAVADO, ALINEACIÓN Y BALANCEO REQUERIDO POR EL PARQUE AUTOMOTOR DEL HOSPITAL DEPARTAMENTAL SAN ANTONIO ESE</t>
  </si>
  <si>
    <t>HUGO ALBERTO RIVEROS RESTREPO</t>
  </si>
  <si>
    <t>PRESTACIÓN DE SERVICIOS EN PROTECCIÓN RADIOLÓGICA EN EL HOSPITAL DEPARTAMENTAL SAN ANTONIO E.S.E. DE ROLDANILLO VALLE, EN CUMPLIMIENTO DE LA RESOLUCIÓN 482 DE 22 DE FEBRERO DE 2018 Y RESOLUCIÓN 3100 DE NOVIEMBRE DE 2019</t>
  </si>
  <si>
    <t>HUMERTO ADOLFO COLINA TRUJILLO</t>
  </si>
  <si>
    <t>901040792-4</t>
  </si>
  <si>
    <t>ISABEL CRISTINA MAYOR ROMERO</t>
  </si>
  <si>
    <t>1113787849-1</t>
  </si>
  <si>
    <t>IVÁN DARIO SEPÚLVEDA CASTILLO</t>
  </si>
  <si>
    <t>94229932-6</t>
  </si>
  <si>
    <t>JEISSON DAVID QUINTERO GONZÁLEZ</t>
  </si>
  <si>
    <t>JESSICA VANESSA GIRALDO ESCARRIA</t>
  </si>
  <si>
    <t>JOHANNA CAMILA ALARCON ORJUELA</t>
  </si>
  <si>
    <t>JOHN JAIME OCAMPO VÉLEZ</t>
  </si>
  <si>
    <t>JORGE MARIO RUIZ SANZ</t>
  </si>
  <si>
    <t xml:space="preserve">SUMINISTRO DE PAPELERÍA Y MATERIALES DE OFICINA PARA USO EN LOS DIFERENTES SERVICIOS ASISTENCIALES Y ADMINISTRATIVOS DEL H.D.S.A. E.S.E. </t>
  </si>
  <si>
    <t>JOSÉ JOAQUÍN TABARES CHICA</t>
  </si>
  <si>
    <t>6138393-5</t>
  </si>
  <si>
    <t>JOSÉ MARTÍN PÉREZ PARRA</t>
  </si>
  <si>
    <t>16364309-0</t>
  </si>
  <si>
    <t>JOSÉ MIGUEL LLANOS VÉLEZ</t>
  </si>
  <si>
    <t>JUAN CAMILO TOVAR MUÑOZ</t>
  </si>
  <si>
    <t>PRESTACIÓN DE SERVICIOS PROFESIONALES EN REVISORÍA FISCAL EN EL HOSPITAL DEPARTAMENTAL SAN ANTONIO E.S.E. DE ROLDANILLO VALLE</t>
  </si>
  <si>
    <t>KRESTON RM S.A.</t>
  </si>
  <si>
    <t>800059311-2</t>
  </si>
  <si>
    <t xml:space="preserve">CONTRATAR LAS PÓLIZAS DE SEGUROS REQUERIDAS PARA LA PROTECCIÓN DE LOS BIENES E INTERESES PATRIMONIALES DE PROPIEDAD DEL HOSPITAL DEPARTAMENTAL SAN ANTONIO DE ROLDANILLO VALLE E.S.E. Y AQUELLOS POR LOS CUALES SEA O LLEGAREN A SER LEGALMENTE RESPONSABLE O LE CORRESPONDA ASEGURAR EN VIRTUD DE DISPOSICIÓN LEGAL O CONTRACTUAL </t>
  </si>
  <si>
    <t>LA PREVISORA S.A. COMPAÑÍA DE SEGUROS</t>
  </si>
  <si>
    <t>860002400-2</t>
  </si>
  <si>
    <t>LAURA KATHERIN SANABRIA FERNÁNDEZ</t>
  </si>
  <si>
    <t>LAURA XIMENA OSPINA GARCIA</t>
  </si>
  <si>
    <t>LEIBY YURANI GÓMEZ GUZMAN</t>
  </si>
  <si>
    <t>LEIDY JOHANNA CRUZ MEDINA</t>
  </si>
  <si>
    <t>LINA MARCELA BUENO GAVIRIA</t>
  </si>
  <si>
    <t>LOREN CAMILA SALAZAR QUINTERO</t>
  </si>
  <si>
    <t>LUCY ANDREA HENAO GUZMÁN</t>
  </si>
  <si>
    <t>1116433614-2</t>
  </si>
  <si>
    <t>MANUELA SASTRE TROCHEZ</t>
  </si>
  <si>
    <t>MARCELA GOMEZ QUICENO</t>
  </si>
  <si>
    <t>MARGARITA MARÍA RAMIREZ HURTADO</t>
  </si>
  <si>
    <t>MARGARITA ROSA FAJARDO SIERRA</t>
  </si>
  <si>
    <t>1113782820-9</t>
  </si>
  <si>
    <t>MARÍA CAMILA GRAJALES VALENCIA</t>
  </si>
  <si>
    <t>MARIA MYLEIDI SÁNCHEZ CASTILLO</t>
  </si>
  <si>
    <t>29775266-3</t>
  </si>
  <si>
    <t>MARIA PAULA HERRERA JARAMILLO</t>
  </si>
  <si>
    <t xml:space="preserve">PRESTACIÓN DE SERVICIOS EN LECTURA Y TRANSCRIPCIÓN DE ESTUDIOS RADIOLÓGICOS E IMPLEMENTACION DEL PROGRAMA DE ALMACENAMIENTO Y ARCHIVO DE IMÁGENES DIGITALES EN EQUIPO DE COMPUTO CONOCIDO COMO PACS. </t>
  </si>
  <si>
    <t>MEDICINA ELECTRODIAGNÓSTICA SAS</t>
  </si>
  <si>
    <t>900212551-1</t>
  </si>
  <si>
    <t>MEGASI BIOMEDICA INTEGRAL S.A.S.</t>
  </si>
  <si>
    <t>900480017-8</t>
  </si>
  <si>
    <t>WILMAR BENITEZ SÁNCHEZ</t>
  </si>
  <si>
    <t>MEJOR VIVIR SOLUCIONES INTEGRALES S.A.S.</t>
  </si>
  <si>
    <t>900657120-0</t>
  </si>
  <si>
    <t>CONTRATAR UN OPERADOR LOGÍSTICO QUE REALICE LA ORGANIZACIÓN Y EJECUCIÓN DE LAS ACTIVIDADES PROPUESTAS EN EL PLAN INSTITUCIONAL DE BIENESTAR SOCIAL, ESTÍMULOS E INCENTIVOS DEL HOSPITAL DEPARTAMENTAL SAN ANTONIO DE ROLDANILLO VALLE E.S.E. ASÍ COMO LAS DEMÁS ACTIVIDADES REALIZADAS POR GERENCIA DE CARÁCTER SOCIAL EN EL MARCO DE CUMPLIMIENTO DE LAS METAS DEL PLAN DE DESARROLLO INSTITUCIONAL</t>
  </si>
  <si>
    <t>SUMINISTRO DE MATERIALES DE RIO, FERRETERIA, ELECTRICOS Y DE CONSTRUCCION PARA REALIZAR MANTENIMIENTO EN EL HOSPITAL DEPARTAMENTAL SAN ANTONIO ESE DE ROLDANILLO VALLE</t>
  </si>
  <si>
    <t>SUMINISTRO DE OXÍGENO MEDICINAL PARA LA ATENCIÓN DE PACIENTES DEL HOSPITAL DEPARTAMENTAL SAN ANTONIO E.S.E. DE ROLDANILLO VALLE</t>
  </si>
  <si>
    <t>MESSER COLOMBIA S.A.</t>
  </si>
  <si>
    <t>860005114-4</t>
  </si>
  <si>
    <t>MICRONET S.A.S.</t>
  </si>
  <si>
    <t>815001055-6</t>
  </si>
  <si>
    <t>NATALIA AGUDELO RIVERA</t>
  </si>
  <si>
    <t>NHORA MILENA FERREIRA GIRALDO</t>
  </si>
  <si>
    <t>NINI JOHANA MOSQUERA BELTRÁN</t>
  </si>
  <si>
    <t>PONER A DISPOSICIÓN DEL HOSPITAL DEPARTAMENTAL SAN ANTONIO E.S.E. EN LAS ÁREAS DE URGENCIAS Y CONSULTA EXTERNA EQUIPOS DE IMPRESIÓN, FOTOCOPIADO Y ESCANEO DE DOCUMENTOS INCLUYENDO ASISTENCIA TÉCNICA PARA SU CORRECTA OPERACIÓN Y FUNCIONAMIENTO, ASÍ COMO REALIZACIÓN DEL MANTENIMIENTO PREVENTIVO Y CORRECTIVO DE LOS EQUIPOS SUMINISTRADOS</t>
  </si>
  <si>
    <t>OLGA MARÍA GÓMEZ ÁRIAS</t>
  </si>
  <si>
    <t>51848141-6</t>
  </si>
  <si>
    <t>PRESTACIÓN DE SERVICIOS PROFESIONALES COMO MÉDICO ESPECIALISTA EN CARDIOLOGÍA EN EL HOSPITAL DEPARTAMENTAL SAN ANTONIO E.S.E. DE ROLDANILLO VALLE</t>
  </si>
  <si>
    <t>PUREZA DE CORAZÓN S.A.S. BIC</t>
  </si>
  <si>
    <t>901540641-6</t>
  </si>
  <si>
    <t>SUMINISTRO DE BOLSAS PLASTICAS PARA RECOLECCION DE RESIDUOS ORDINARIOS Y DESECHOS HOSPITALARIOS REQUERIDAS EN EL HOSPITAL DEPARTAMENTAL SAN ANTONIO ESE DE ROLDANILLO VALLE</t>
  </si>
  <si>
    <t>PUREZA PROVEEDORES AMBIENTALES SAS</t>
  </si>
  <si>
    <t>900570042-9</t>
  </si>
  <si>
    <t>RAMIRO ANDRÉS ARANGO TAMAYO</t>
  </si>
  <si>
    <t xml:space="preserve">SERVICIOS ESPECIALIZADOS Y PROFESIONALES EN LA GESTIÓN INTEGRAL DEL TRATAMIENTO Y DISPOSICIÓN FINAL DE RESIDUOS HOSPITALARIOS, GARANTIZANDO EL CUMPLIMIENTO DE LAS NORMAS AMBIENTALES Y SANITARIAS </t>
  </si>
  <si>
    <t>RH SAS</t>
  </si>
  <si>
    <t>805007083-3</t>
  </si>
  <si>
    <t>SERVICIO DE SEGUROS OBLIGATORIOS DE ACCIDENTES DE TRANSITO SOAT REQUERIDO POR  EL PARQUE AUTOMOTOR DE LA ESE HOSPITAL SAN ANTONIO ESE DE ROLDANILLO VALLE</t>
  </si>
  <si>
    <t>SANDRA LILIANA HOYOS AGUIRRE</t>
  </si>
  <si>
    <t>SANTIAGO MARMOLEJO ARBOLEDA</t>
  </si>
  <si>
    <t>SUMINISTRO DE MATERIAL DE OSTEOSINTESIS PARA USO EN CIRUGIA REALIZADAS POR ORTOPEDIA EN EL HOSPITAL DEPARTAMENTAL SAN ANTONIO ESE DE ROLDANILLO VALLE</t>
  </si>
  <si>
    <t xml:space="preserve">SERMEQS SAS </t>
  </si>
  <si>
    <t>900445702-7</t>
  </si>
  <si>
    <t>SILVIA MILENA MENDOZA CÓRDOBA</t>
  </si>
  <si>
    <t>SINDICATO DE TRABAJADORES DE OFICIOS VARIOS SERVICOLOMBIA</t>
  </si>
  <si>
    <t>900537545-2</t>
  </si>
  <si>
    <t>PRESTACIÓN DE LOS SERVICIOS DE ASEO, DESINFECCIÓN Y MANTENIMIENTO EN EL HOSPITAL DEPARTAMENTAL SAN ANTONIO E.S.E. DE ROLDANILLO VALLE</t>
  </si>
  <si>
    <t>SUMINISTRO DE INSUMOS Y ELEMENTOS DE ASEO, DESINFECCIÓN Y BIOSEGURIDAD REQUERIDOS EN EL HOSPITAL DEPARTAMENTAL SAN ANTONIO E.S.E. DE ROLDANILLO VALLE</t>
  </si>
  <si>
    <t>SÚPER KJ S.A.S.</t>
  </si>
  <si>
    <t>900940764-6</t>
  </si>
  <si>
    <t>PRESTACIÓN DE SERVICIO EN SOPORTE REMOTO, ACTUALIZACIÓN Y SERVICIO DE FACTURACIÓN Y NÓMINA ELECTRÓNICA SEGÚN NORMATIVIDAD DEL SOFTWARE INTEGRAL SIHOS WEB MÓDULOS ASISTENCIALES, ADMINISTRATIVOS Y FINANCIEROS</t>
  </si>
  <si>
    <t>TECNOLOGÍAS SINERGIAS S.A.S.</t>
  </si>
  <si>
    <t>900349841-1</t>
  </si>
  <si>
    <t>VALENTINA GRAJALES MORALES</t>
  </si>
  <si>
    <t>WILLIAM ENRIQUE VALLEJO SÁNCHEZ</t>
  </si>
  <si>
    <t>PRESTACIÓN DE SERVICIOS DE MANTENIMIENTO Y REPARACIÓN DE EQUIPOS DE REFRIGERACIÓN, CLIMATIZACIÓN (AIRES ACONDICIONADOS) DE LAS DIFERENTES ÁREAS DEL HOSPITAL DEPARTAMENTAL SAN ANTONIO E.S.E. DE ROLDANILLO VALLE</t>
  </si>
  <si>
    <t>LUCY ANDREA HENAO GUZMAN</t>
  </si>
  <si>
    <t>FECHA INICIO</t>
  </si>
  <si>
    <t>FECHA TERMINACIÓN</t>
  </si>
  <si>
    <t>VALOR INICIAL DEL CONTRATO</t>
  </si>
  <si>
    <t>VALOR TOTAL DEL CONTRATO</t>
  </si>
  <si>
    <t>CDP</t>
  </si>
  <si>
    <t>COM</t>
  </si>
  <si>
    <t>FECHA INICIAL DE TERMINACIÓN</t>
  </si>
  <si>
    <t>ADICIÓN AL CONTRATO</t>
  </si>
  <si>
    <t>FECHA MODIFICACIÓN</t>
  </si>
  <si>
    <t>CDP  ADICIÓN</t>
  </si>
  <si>
    <t>COM  ADICIÓN</t>
  </si>
  <si>
    <t>CDMIN-001-2025</t>
  </si>
  <si>
    <t>CDP_5 01/01/2025</t>
  </si>
  <si>
    <t>COM_24 08/01/20245</t>
  </si>
  <si>
    <t>N/A</t>
  </si>
  <si>
    <t>21/04/2025      12/06/2025</t>
  </si>
  <si>
    <t>CDP_423</t>
  </si>
  <si>
    <t>COM_442</t>
  </si>
  <si>
    <t>CDMIN-002-2025</t>
  </si>
  <si>
    <t>CDP_12 01/01/2025</t>
  </si>
  <si>
    <t>COM_49 20/01/2025</t>
  </si>
  <si>
    <t>CDMIN-003-2025</t>
  </si>
  <si>
    <t>CDP_51 10/01/2025</t>
  </si>
  <si>
    <t>COM_50 20/01/2025</t>
  </si>
  <si>
    <t>CDMIN-004-2025</t>
  </si>
  <si>
    <t>CDP_54 10/01/2025</t>
  </si>
  <si>
    <t>COM_216 14/02/2025</t>
  </si>
  <si>
    <t>CDP_1039</t>
  </si>
  <si>
    <t>COM_1071</t>
  </si>
  <si>
    <t>CDMIN-005-2025</t>
  </si>
  <si>
    <t>CDP_205 07/02/2025</t>
  </si>
  <si>
    <t>COM_219 19/02/2025</t>
  </si>
  <si>
    <t>CDMIN-006-2025</t>
  </si>
  <si>
    <t>CDP_203 03/02/2025</t>
  </si>
  <si>
    <t>COM_223 24/02/2025</t>
  </si>
  <si>
    <t>CDP_806</t>
  </si>
  <si>
    <t>COM_839</t>
  </si>
  <si>
    <t>CDMIN-007-2025</t>
  </si>
  <si>
    <t>CDP_202 07/02/2025</t>
  </si>
  <si>
    <t>COM_238 24/02/2025</t>
  </si>
  <si>
    <t>CDMIN-008-2025</t>
  </si>
  <si>
    <t>CDP_238 21/02/2025</t>
  </si>
  <si>
    <t>COM_239 24/02/2025</t>
  </si>
  <si>
    <t>CDP_807</t>
  </si>
  <si>
    <t>COM_840</t>
  </si>
  <si>
    <t>CDMIN-009-2025</t>
  </si>
  <si>
    <t>SUMINISTRO DE INSUMOS Y ELEMENTOS DE ASEO, RECOLECCIÓN DE BASURAS, DESINFECCIÓN Y OTROS EN EL HOSPITAL DEPARTAMENTAL SAN ANTONIO E.S.E. DE ROLDANILLO VALLE</t>
  </si>
  <si>
    <t>MARIA YANETH AVELLANEDA DUARTE</t>
  </si>
  <si>
    <t>30299307-9</t>
  </si>
  <si>
    <t>CDP_239 21/02/2025</t>
  </si>
  <si>
    <t>COM_240 24/02/2025</t>
  </si>
  <si>
    <t>CDMIN-010-2025</t>
  </si>
  <si>
    <t>CDP_233 14/02/2025</t>
  </si>
  <si>
    <t>COM_327 26/02/2025</t>
  </si>
  <si>
    <t>CDMIN-011-2025</t>
  </si>
  <si>
    <t>PRESTACIÓN DE SERVICIOS EN MANTENIMIENTO  PREVENTIVO Y CORRECTIVO DE PLANTA ELÉCTRICA INCLUIDO TABLERO DE TRANSFERENCIA DEL HOSPITAL DEPARTAMENTAL SAN ANTONIO E.S.E. DE ROLDANILLO VALLE</t>
  </si>
  <si>
    <t>CDP_235 14/02/2025</t>
  </si>
  <si>
    <t>COM_328 26/02/2025</t>
  </si>
  <si>
    <t>CDMIN-012-2025</t>
  </si>
  <si>
    <t>CDP_251 21/02/2025</t>
  </si>
  <si>
    <t>COM_329 26/02/2025</t>
  </si>
  <si>
    <t>31/04/2025</t>
  </si>
  <si>
    <t>CDMIN-013-2025</t>
  </si>
  <si>
    <t>CDP_253 21/02/2025</t>
  </si>
  <si>
    <t>COM_331 27/02/2025</t>
  </si>
  <si>
    <t>CDMIN-014-2025</t>
  </si>
  <si>
    <t>COMPRA VENTA DE EQUIPOS ELECTRÓNICOS Y BIENES MUEBLES, CON EL FIN DE MEJORAR LA PRESTACIÓN DEL SERVICIO DE ATENCIÓN A LOS PACIENTES EN LAS INSTALACIONES DEL HOSPITAL DEPARTAMENTAL SAN ANTONIO DE ROLDANILLO E.S.E.</t>
  </si>
  <si>
    <t>CDP_346  28/02/2025</t>
  </si>
  <si>
    <t>COM_372 12/03/2025</t>
  </si>
  <si>
    <t>CDMIN-015-2025</t>
  </si>
  <si>
    <t>SUMINISTRO DE TOLDILLOS, SÁBANAS Y FORROS DE CAMAS Y CAMILLAS PARA LA PRESTACIÓN DE SERVICIOS A LOS PACIENTES DEL HOSPITAL DEPARTAMENTAL SAN ANTONIO E.S.E. DE ROLDANILLO VALLE</t>
  </si>
  <si>
    <t>CDP_365 10/03/2025</t>
  </si>
  <si>
    <t>COM_373 17/03/2025</t>
  </si>
  <si>
    <t>CDMIN-016-2025</t>
  </si>
  <si>
    <t>COMPRA E INSTALACIÓN DE AIRES ACONDICIONADOS REQUERIDOS EN LAS AREAS DE ENDOSCOPIAS Y MAMOGRAFIAS EN EL HOSPITAL DEPARTAMENTAL SAN ANTONIO E.S.E. DE ROLDANILLO VALLE</t>
  </si>
  <si>
    <t>CDP_382 20/03/2025</t>
  </si>
  <si>
    <t>COM_384 20/03/2025</t>
  </si>
  <si>
    <t>CDMIN-017-2025</t>
  </si>
  <si>
    <t>COMPRA SISTEMA DE LLAMADOS DE ENFERMERÍA Y ALARMAS HOSPITALARIAS CÓDIGO ROJO, CAPACITACIÓN PARA LA PUESTA EN MARCHA DEL SISTEMA EN EL HOSPITAL DEPARTAMENTAL SAN ANTONIO DE ROLDANILLO VALLE</t>
  </si>
  <si>
    <t>INGETRONIK INGENIERÍA ELECTRÓNICA S.A.S.</t>
  </si>
  <si>
    <t>CDP_371 13/03/2025</t>
  </si>
  <si>
    <t>COM_385 25/03/2025</t>
  </si>
  <si>
    <t>CDMIN-018-2025</t>
  </si>
  <si>
    <t>SUMINISTRO E INSTALACIÓN DE VENTANAS Y PUERTAS EN ALUMINIO REQUERIDAS PARA EL CONSULTORIO ROSADO DEL HOSPITAL DEPARTAMENTAL SAN ANTONIO E.S.E. DE ROLDANILLO VALLE</t>
  </si>
  <si>
    <t>CDP_383 21/03/2025</t>
  </si>
  <si>
    <t>COM_389 27/03/2025</t>
  </si>
  <si>
    <t>CDMIN-019-2025</t>
  </si>
  <si>
    <t>COMPRA DE BALANZA PESA BEBÉ DIGITAL E INFANTÓMETRO REQUERIDOS PARA LA IMPLEMENTACIÓN Y ADOPCIÓN DE LA RUTA DE ATENCIÓN A LA DESNUTRICIÓN EN EL HOSPITAL DEPARTAMENTAL SAN ANTONIO E.S.E. DE ROLDANILLO VALLE</t>
  </si>
  <si>
    <t>CDP_387 26/03/2025</t>
  </si>
  <si>
    <t>COM_390 31/03/2025</t>
  </si>
  <si>
    <t>CDMIN-020-2025</t>
  </si>
  <si>
    <t>SERVICIO DE ACCESO AL SOFTWARE DE GESTIÓN DE MANTENIMIENTO HOSPITALARIO ALPHA BIOMÉDICA REQUERIDO EN EL HOSPITAL DEPARTAMENTAL SAN ANTONIO E.S.E. DE ROLDANILLO VALLE</t>
  </si>
  <si>
    <t>BIOINNOVA TECHNOLOGIES S.A.S.</t>
  </si>
  <si>
    <t>901002236-9</t>
  </si>
  <si>
    <t>CDP_393 28/03/2025</t>
  </si>
  <si>
    <t>COM_396 31/03/2025</t>
  </si>
  <si>
    <t>CDMIN-021-2025</t>
  </si>
  <si>
    <t>PRESTACIÓN DE SERVICIOS PROFESIONALES PARA LA REALIZACIÓN DE LA CARACTERIZACIÓN DE VERTIMIENTOS PRODUCIDOS POR EL HOSPITAL DEPARTAMENTAL SAN ANTONIO E.S.E. DE ROLDANILLO VALLE</t>
  </si>
  <si>
    <t>WATER TECHNOLOGY ENG S.A.S.</t>
  </si>
  <si>
    <t>900746832-8</t>
  </si>
  <si>
    <t>CDP_437 25/04/2025</t>
  </si>
  <si>
    <t>COM_449 30/09/2025</t>
  </si>
  <si>
    <t>CDMIN-022-2025</t>
  </si>
  <si>
    <t>COMPRA VENTA DE SENSOR DE RADIOLOGÍA DENTAL, UNIDAD DE RAYOS X ODONTOLÓGICO, COMPUTADOR PORTÁTIL Y TERMO HIGRÓMETRO DIGITAL, REQUERIDOS EN EL SERVICIO DE ODONTOLOGÍA DEL HOSPITAL DEPARTAMENTAL SAN ANTONIO E.S.E. DE ROLDANILLO VALLE</t>
  </si>
  <si>
    <t>CDP_450 30/04/2025</t>
  </si>
  <si>
    <t>COM_485 08/05/2025</t>
  </si>
  <si>
    <t>CDMIN-023-2025</t>
  </si>
  <si>
    <t>PRESTACIÓN DE SERVICIOS EN EL PROCESO DE CONTROL DE PLAGAS EN EL HOSPITAL DEPARTAMENTAL SAN ANTONIO ESE DE ROLDANILLO VALLE, COMO ACCIONES DE IMPLEMENTACIÓN DEL PLAN AMBIENTAL</t>
  </si>
  <si>
    <t>DIEGO LIBREROS LASSO</t>
  </si>
  <si>
    <t>6559929-9</t>
  </si>
  <si>
    <t>CDP_471 08/05/2025</t>
  </si>
  <si>
    <t>COM_576 14/05/2025</t>
  </si>
  <si>
    <t>CDMIN-024-2025</t>
  </si>
  <si>
    <t>CDP_541 12/05/2025</t>
  </si>
  <si>
    <t>COM_552 23/05/2025</t>
  </si>
  <si>
    <t>CDMIN-025-2025</t>
  </si>
  <si>
    <t>SERVICIO DE MANTENIMIENTO PREVENTIVO Y CORRECTIVO INCLUIDOS SUMINISTROS REQUERIDOS PARA UPS PERTENECIENTES AL HOSPITAL DEPARTAMENTAL SAN ANTONIO E.S.E. DE ROLDANILLO VALLE</t>
  </si>
  <si>
    <t>CDP_539 12/05/2025</t>
  </si>
  <si>
    <t>COM_577 30/05/2025</t>
  </si>
  <si>
    <t>CDMIN-026-2025</t>
  </si>
  <si>
    <t>COMPRA VENTA DE AGUJAS PARA PISTOLA AUTOMATICA Y AGUJAS PARA BIOPSIA SEMI AUTOMATICA REQUERIDAS EN EL HOSPITAL DEPARTAMENTAL SAN ANTONIO E.S.E. DE ROLDANILLO VALLE</t>
  </si>
  <si>
    <t>CDP_613 30/05/2025</t>
  </si>
  <si>
    <t>COM_640 10/06/2025</t>
  </si>
  <si>
    <t>CDMIN-027-2025</t>
  </si>
  <si>
    <t>COMPRA VENTA DE REGULADOR DE VOLTAJE 3KVA PARA USO DE EQUIPO DE RAYOS X PERIAPICAL Y DELANTALES PLOMADOS, REQUERIDOS EN EL SERVICIO DE ODONTOLOGIA DEL HSOPTAL DEPARTAMENTAL SAN ANTONIO ESE DE ROLDANILLO VALLE</t>
  </si>
  <si>
    <t>CDP_612 30/06/2025</t>
  </si>
  <si>
    <t>COM_641 12/06/2025</t>
  </si>
  <si>
    <t>CDMIN-028-2025</t>
  </si>
  <si>
    <t>SUMINISTRO E INSTALACIÓN DE MATERIALES PARA ADECUACIONES REQUERIDAS EN EL ÁREA DE LAVADO DE LABORATORIO CLÍNICO DEL HOSPITAL DEPARTAMENTAL SAN ANTONIO ESE DE ROLDANILLO VALLE DEL CAUCA</t>
  </si>
  <si>
    <t xml:space="preserve">IVÁN DARÍO SEPÚLVEDA CASTILLO </t>
  </si>
  <si>
    <t>CDP_627 30/05/2025</t>
  </si>
  <si>
    <t>COM_642 12/06/2025</t>
  </si>
  <si>
    <t>CDMIN-029-2025</t>
  </si>
  <si>
    <t>COMPRA DE DISPOSITIVOS MÉDICOS NECESARIOS PARA LA OPERACIÓN DE LOS EQUIPOS BÁSICOS DE SALUD EN EL FORTALECIMIENTO DE LA GESTIÓN TERRITORIAL BASADA EN ATENCIÓN PRIMARIA EN SALUD APS EN EL MARCO DE LA IMPLEMENTACIÓN DEL MODELO DE SALUD PREVENTIVO Y PREDICTIVO</t>
  </si>
  <si>
    <t>CDP_596 26/05/2025</t>
  </si>
  <si>
    <t>COM_656 17/06/2025</t>
  </si>
  <si>
    <t>CDMIN-030-2025</t>
  </si>
  <si>
    <t>COMPRA DE DISPOSITIVOS MÉDICOS PARA LA OPERACIÓN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</si>
  <si>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CDP_637 11/06/2025</t>
  </si>
  <si>
    <t>COM_657 17/06/2025</t>
  </si>
  <si>
    <t>CDMIN-031-2025</t>
  </si>
  <si>
    <t>ADQUISICIÓN DE LICENCIAS DE ANTIVIRUS REQUERIDAS POR LOS EQUIPOS DE COMPUTO PERTENECIENTES AL HOSPITAL DEPARTAMENTAL SAN ANTONIO E.S.E. DE ROLDANILLO VALLE</t>
  </si>
  <si>
    <t>CDP_664 25/06/2025</t>
  </si>
  <si>
    <t>COM_713 01/07/2025</t>
  </si>
  <si>
    <t>CDMIN-032-2025</t>
  </si>
  <si>
    <t>COMPRA VENTA DE ELECTRODOMESTICOS REQUERIDOS POR EL SERVICIO DE ALIMENTACIÓN DEL HOSPITAL DEPARTAMENTAL SAN ANTONIO E.S.E. DE ROLDANILLO VALLE</t>
  </si>
  <si>
    <t>CIMEX COLOMBIA S.A.S.</t>
  </si>
  <si>
    <t>CDP_706 04/07/2025</t>
  </si>
  <si>
    <t>COM_736 14/07/2025</t>
  </si>
  <si>
    <t>CDMIN-033-2025</t>
  </si>
  <si>
    <t>CDP_711 11/07/2025</t>
  </si>
  <si>
    <t>COM_737 16/07/2025</t>
  </si>
  <si>
    <t>CDMIN-034-2025</t>
  </si>
  <si>
    <t>ADQUISICIÓN DE ESCRITORIOS OPERATIVO METÁLICO, EN SUPERFICIE EN MADERA TRIPLEX Y SILLAS DE ESCRITORIO MALLA EJECUTIVA GIRATORIA CROMADA CON REPOSABRAZOS FIJO NEGRA PARA EL HOSPITAL DEPARTAMENTAL SAN ANTONIO E.S.E. DE ROLDANILLO VALLE</t>
  </si>
  <si>
    <t>CDP_712 14/07/2025</t>
  </si>
  <si>
    <t>COM_731 18/07/2025</t>
  </si>
  <si>
    <t>CDMIN-035-2025</t>
  </si>
  <si>
    <t>ADQUISICIÓN DE UN HAND SWITCH, TARJETA ELECTRÓNICA PARA RESTABLECER LUZ LED Y ELEMENTOS ADICIONALES NECESARIOS PARA LA INSTALACIÓN Y AJUSTE DE LA TARJETA ELECTRÓNICA PARA EQUIPO DE RAYOS X CONVENCIONAL PERTENECIENTE AL HOSPITAL DEPARTAMENTAL SAN ANTONIO E.S.E. DE ROLDANILLO VALLE</t>
  </si>
  <si>
    <t>INVERSIONES PROMEDCO S.A.S.</t>
  </si>
  <si>
    <t>900958202-8</t>
  </si>
  <si>
    <t>CDP_785 11/08/2025</t>
  </si>
  <si>
    <t>COM_864 18/08/2025</t>
  </si>
  <si>
    <t>CDMIN-036-2025</t>
  </si>
  <si>
    <t>SUMINISTRO E INSTALACION DE PUERTAS EN ALUMINIO Y  ESPEJOS REQUERIDOS EN EL HOSPITAL DEPARTAMENTAL SAN ANTONIO ESE</t>
  </si>
  <si>
    <t>CDP_875 22/08/2025</t>
  </si>
  <si>
    <t>CNAR-001-2025</t>
  </si>
  <si>
    <t>ARRENDAMIENTO DE BIEN INMUEBLE IDENTIFICADO CON EL NÚMERO DE MATRÍCULA INMOBILIARIA NO. 380-46808, CASA DE HABITACIÓN UBICADA EN EL ÁREA URBANA DEL MUNICIPIO DE ROLDANILLO, EN LA CARRERA 9A # 14-20/42/44, CON TODAS SUS MEJORAS Y ANEXIDADES PARA LA SEDE ANEXA A LA PRESTACION DE SERVICIOS DEL HOSPITAL DEPARTAMENTAL SAN ANTONIO ESE DE ROLDANILLO VALLE DEL CAUCA</t>
  </si>
  <si>
    <t>CDP_6 01/01/2025</t>
  </si>
  <si>
    <t>COM_21 02/01/2025</t>
  </si>
  <si>
    <t>CNAR-002-2025</t>
  </si>
  <si>
    <t>CDP_8 01/01/2025</t>
  </si>
  <si>
    <t>COM_22 07/01/2025</t>
  </si>
  <si>
    <t>CDP_1031</t>
  </si>
  <si>
    <t>COM_1055</t>
  </si>
  <si>
    <t>CNCO-002-2025</t>
  </si>
  <si>
    <t>ASESORÍA PROFESIONAL ESPECIALIZADA Y CONSULTORIA EN LA ACTUALIZACIÓN DEL PRESUPUESTO DEL PROYECTO DE REPOTENCIACIÓN DE LA SUBESTACIÓN ELÉCTRICA DEL HOSPITAL DEPARTAMENTAL SAN ANTONIO E.S.E. DE ROLDANILLO VALLE</t>
  </si>
  <si>
    <t>CDP_540 12/05/2025</t>
  </si>
  <si>
    <t>COM_504 21/05/2025</t>
  </si>
  <si>
    <t>CNCO-003-2025</t>
  </si>
  <si>
    <t>ASESORÍA PROFESIONAL ESPECIALIZADA Y CONSULTORIA EN LA INTEGRACIÓN DEL PROYECTO DE ADQUISICIÓN Y PUESTA EN MARCHA DE LA SUBESTACIÓN ELÉCTRICA AL ESTUDIO Y DISEÑO TÉCNICO DEL PROYECTO DE INFRAESTRUCTURA PARA EL REORDENAMIENTO FÍSICO DEL HOSPITAL DEPARTAMENTAL SAN ANTONIO E.S.E. DE ROLDANILLO VALLE</t>
  </si>
  <si>
    <t>CDP_566 23/05/2025</t>
  </si>
  <si>
    <t>COM_566 26/05/2025</t>
  </si>
  <si>
    <t>CNPS-001-2025</t>
  </si>
  <si>
    <t>CDP_9 01/01/2025</t>
  </si>
  <si>
    <t>COM_23 07/01/2025</t>
  </si>
  <si>
    <t>7/07/2025   27/08/2025</t>
  </si>
  <si>
    <t>CDP_696   CDP_808</t>
  </si>
  <si>
    <t>COM_727                        COM_837</t>
  </si>
  <si>
    <t>CNPS-002-2025</t>
  </si>
  <si>
    <t>CDP_7 01/01/2025</t>
  </si>
  <si>
    <t>COM_40 13/01/2025</t>
  </si>
  <si>
    <t>CNPS-003-2025</t>
  </si>
  <si>
    <t>CDP_10 01/01/2025</t>
  </si>
  <si>
    <t>COM_46 17/01/2025</t>
  </si>
  <si>
    <t xml:space="preserve">CDP_795 </t>
  </si>
  <si>
    <t xml:space="preserve">COM_829 </t>
  </si>
  <si>
    <t>CNPS-004-2025</t>
  </si>
  <si>
    <t>CDP_11 01/01/2025</t>
  </si>
  <si>
    <t>COM_47 17/01/2025</t>
  </si>
  <si>
    <t>CNPS-005-2025</t>
  </si>
  <si>
    <t>CDP_53 10/01/2025</t>
  </si>
  <si>
    <t>COM_109 29/01/2025</t>
  </si>
  <si>
    <t>CDP_439</t>
  </si>
  <si>
    <t>COM_463</t>
  </si>
  <si>
    <t>CNPS-006-2025</t>
  </si>
  <si>
    <t>SYNLAB COLOMBIA S.A.S.</t>
  </si>
  <si>
    <t>800087565-5</t>
  </si>
  <si>
    <t>CDP_46 10/01/2025</t>
  </si>
  <si>
    <t>COM_128 03/02/2025</t>
  </si>
  <si>
    <t>CNPS-007-2025</t>
  </si>
  <si>
    <t>PRESTACIÓN DE SERVICIOS PROFESIONALES COMO PROFESIONAL COMO NUTRICIONISTA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</si>
  <si>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LAURA SOFIA RAMIREZ CLAVIJO</t>
  </si>
  <si>
    <t>CDP_131 29/01/2025</t>
  </si>
  <si>
    <t>COM_130 03/02/2025</t>
  </si>
  <si>
    <t>CNPS-008-2025</t>
  </si>
  <si>
    <t>PRESTACIÓN DE SERVICIOS DE APOYO A LA GESTIÓN COMO AUXILIAR DE ENFERMERÍA EN LA OPERACIÓN DE UNO DE LOS EQUIPOS BÁSICOS DE SALUD EN EL FORTALECIMIENTO DE LA GESTIÓN TERRITORIAL BASADA EN ATENCIÓN PRIMARIA DE SALUD APS EN EL MARCO DE LA IMPLEMENTACIÓN DEL MODELO DE SALUD PREVENTIVO Y PREDICTIVO PARA AVANZAR EN LA GARANTÍA DEL DERECHO FUNDAMENTAL A LA SALUD EN EL MUNICIPIO DE ROLDANILLO VALLE DEL CAUCA</t>
  </si>
  <si>
    <t>MARÍA MYLEIDY SÁNCHEZ CASTILLO</t>
  </si>
  <si>
    <t>CDP_91 30/01/2025</t>
  </si>
  <si>
    <t>COM_131 03/02/2025</t>
  </si>
  <si>
    <t>CNPS-009-2025</t>
  </si>
  <si>
    <t>SERVICIOS DE ASESORIA PROFESIONAL EN LA IMPLEMENTACIÓN DE UN SISTEMA INTEGRAL QUE GARANTICE EL CUMPLIMIENTO DE NORMAS REGULATORIAS APLICABLES AL SECTOR HOSPITALARIO QUE PERMITAN LA MEJORA DE LOS PROCESOS ADMINISTRATIVOS Y CLÍNICOS</t>
  </si>
  <si>
    <t>RODRIGO JIMENEZ GÚZMAN</t>
  </si>
  <si>
    <t>CDP_144 25/01/2025</t>
  </si>
  <si>
    <t>COM_129 03/02/2025</t>
  </si>
  <si>
    <t>CNPS-010-2025</t>
  </si>
  <si>
    <t>CDP_134 29/01/2025</t>
  </si>
  <si>
    <t>COM_132 03/02/2025</t>
  </si>
  <si>
    <t>CNPS-011-2025</t>
  </si>
  <si>
    <t>CDP_85 29/01/2025</t>
  </si>
  <si>
    <t>COM_133 03/02/2025</t>
  </si>
  <si>
    <t>CNPS-012-2025</t>
  </si>
  <si>
    <t>CDP_89 29/01/2025</t>
  </si>
  <si>
    <t>COM_134 03/02/2025</t>
  </si>
  <si>
    <t>CNPS-013-2025</t>
  </si>
  <si>
    <t>LAURA KATERIN SANABRIA FERNÁNDEZ</t>
  </si>
  <si>
    <t>CDP_84 29/01/2025</t>
  </si>
  <si>
    <t>COM_135 03/02/2025</t>
  </si>
  <si>
    <t>CNPS-014-2025</t>
  </si>
  <si>
    <t>MANUELA MARIN OSORIO</t>
  </si>
  <si>
    <t>CDP_97 29/01/2025</t>
  </si>
  <si>
    <t>COM_136 03/02/2025</t>
  </si>
  <si>
    <t>CNPS-015-2025</t>
  </si>
  <si>
    <t>PRESTACIÓN DE SERVICIOS PROFESIONALES COMO PROFESIONAL EN FISIOTERAPIA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</si>
  <si>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CDP_129 29/01/2025</t>
  </si>
  <si>
    <t>COM_137 03/02/2025</t>
  </si>
  <si>
    <t>CNPS-016-2025</t>
  </si>
  <si>
    <t>CDP_87 29/01/2025</t>
  </si>
  <si>
    <t>COM_138 03/02/2025</t>
  </si>
  <si>
    <t>CNPS-017-2025</t>
  </si>
  <si>
    <t>PRESTACIÓN DE SERVICIOS PROFESIONALES COMO PROFESIONAL EN PSICOLOGÍA EN LA OPERACIÓN DE UNO DE LOS EQUIPOS BÁSICOS DE SALUD EN EL FORTALECIMIENTO DE LA GESTIÓN TERRITORIAL BASADA EN ATENCIÓN PRIMARIA DE SALUD APS EN EL MARCO DE LA IMPLEMENTACIÓN DEL MODELO DE SALUD PREVENTIVO Y PREDICTIVO PARA AVANZAR EN LA GARANTÍA DEL DERECHO FUNDAMENTAL A LA SALUD EN EL MUNICIPIO DE ROLDANILLO VALLE DEL CAUCA</t>
  </si>
  <si>
    <t>CDP_139 29/01/2025</t>
  </si>
  <si>
    <t>COM_139 03/02/2025</t>
  </si>
  <si>
    <t>CNPS-018-2025</t>
  </si>
  <si>
    <t>CDP_137 29/01/2025</t>
  </si>
  <si>
    <t>COM_140 03/02/2025</t>
  </si>
  <si>
    <t>CNPS-019-2025</t>
  </si>
  <si>
    <t>PRESTACIÓN DE SERVICIOS PROFESIONALES COMO PROFESIONAL ENFERMERÍA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</si>
  <si>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CDP_114 29/01/2025</t>
  </si>
  <si>
    <t>COM_141 03/02/2025</t>
  </si>
  <si>
    <t>CNPS-020-2025</t>
  </si>
  <si>
    <t>CDP_90 29/01/2025</t>
  </si>
  <si>
    <t>COM_142 03/02/2025</t>
  </si>
  <si>
    <t>CNPS-021-2025</t>
  </si>
  <si>
    <t>PRESTACIÓN DE SERVICIOS PROFESIONALES COMO PROFESIONAL EN MEDICINA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</si>
  <si>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CDP_122 29/01/2025</t>
  </si>
  <si>
    <t>COM_143 03/02/2025</t>
  </si>
  <si>
    <t>CNPS-022-2025</t>
  </si>
  <si>
    <t>CDP_132 29/01/2025</t>
  </si>
  <si>
    <t>COM_144 03/02/2025</t>
  </si>
  <si>
    <t>CNPS-023-2025</t>
  </si>
  <si>
    <t>CDP_138 29/01/2025</t>
  </si>
  <si>
    <t>COM_145 03/02/2025</t>
  </si>
  <si>
    <t>CNPS-024-2025</t>
  </si>
  <si>
    <t>CDP_118 29/01/2025</t>
  </si>
  <si>
    <t>COM_146 03/02/2025</t>
  </si>
  <si>
    <t>CNPS-025-2025</t>
  </si>
  <si>
    <t>CDP_82 29/01/2025</t>
  </si>
  <si>
    <t>COM_147 03/02/2025</t>
  </si>
  <si>
    <t>CNPS-026-2025</t>
  </si>
  <si>
    <t>CDP_79 29/01/2025</t>
  </si>
  <si>
    <t>COM_148 03/02/2025</t>
  </si>
  <si>
    <t>CNPS-027-2025</t>
  </si>
  <si>
    <t>CDP_80 29/01/2025</t>
  </si>
  <si>
    <t>COM_149 04/02/2025</t>
  </si>
  <si>
    <t>04/02/205</t>
  </si>
  <si>
    <t>CNPS-028-2025</t>
  </si>
  <si>
    <t>CDP_78 29/01/2025</t>
  </si>
  <si>
    <t>COM_150 04/02/2025</t>
  </si>
  <si>
    <t>CNPS-029-2025</t>
  </si>
  <si>
    <t>PRESTACIÓN DE SERVICIOS PROFESIONALES COMO PROFESIONAL EN TERAPIA OCUPACIONAL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</si>
  <si>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CDP_126 29/01/2025</t>
  </si>
  <si>
    <t>COM_151 04/02/2025</t>
  </si>
  <si>
    <t>CNPS-030-2025</t>
  </si>
  <si>
    <t>CDP_135 29/01/2025</t>
  </si>
  <si>
    <t>COM_152 04/02/2025</t>
  </si>
  <si>
    <t>CNPS-031-2025</t>
  </si>
  <si>
    <t>CDP_76 29/01/2025</t>
  </si>
  <si>
    <t>COM_153 04/02/2025</t>
  </si>
  <si>
    <t>CNPS-032-2025</t>
  </si>
  <si>
    <t>CDP_95 29/01/2025</t>
  </si>
  <si>
    <t>COM_154 04/02/2025</t>
  </si>
  <si>
    <t>CNPS-033-2025</t>
  </si>
  <si>
    <t>CDP_121 29/01/2025</t>
  </si>
  <si>
    <t>COM_155 04/02/2025</t>
  </si>
  <si>
    <t>CNPS-034-2025</t>
  </si>
  <si>
    <t>PRESTACIÓN DE SERVICIOS PROFESIONALES COMO PROFESIONAL EN ODONTOLOGÍA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</si>
  <si>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CDP_130 29/01/2025</t>
  </si>
  <si>
    <t>COM_156 04/02/2025</t>
  </si>
  <si>
    <t>CNPS-035-2025</t>
  </si>
  <si>
    <t>CDP_94 29/01/2025</t>
  </si>
  <si>
    <t>COM_157 04/02/2025</t>
  </si>
  <si>
    <t>CNPS-036-2025</t>
  </si>
  <si>
    <t>CDP_140 29/01/2025</t>
  </si>
  <si>
    <t>COM_158 04/02/2025</t>
  </si>
  <si>
    <t>CNPS-037-2025</t>
  </si>
  <si>
    <t>CDP_81 29/01/2025</t>
  </si>
  <si>
    <t>COM_159 04/02/2025</t>
  </si>
  <si>
    <t>CNPS-038-2025</t>
  </si>
  <si>
    <t>ADQUISICIÓN DE MÓDULO DE VENTANILLA ÚNICA DENTRO DEL SOFTWARE DE ARCHIVO CENTRAL DIGITAL ASÍ COMO SOPORTE TÉCNICO NECESARIO PARA SU OPTIMO FUNCIONAMIENTO EN EL HOSPITAL DEPARTAMENTAL SAN ANTONIO E.S.E. DE ROLDANILLO VALLE</t>
  </si>
  <si>
    <t>CDP_145 29/01/2025</t>
  </si>
  <si>
    <t>COM_111 05/02/2025</t>
  </si>
  <si>
    <t>CNPS-039-2025</t>
  </si>
  <si>
    <t>CDP_141 29/01/2025</t>
  </si>
  <si>
    <t>COM_160 05/02/2025</t>
  </si>
  <si>
    <t>CNPS-040-2025</t>
  </si>
  <si>
    <t>CDP_111 29/01/2025</t>
  </si>
  <si>
    <t>COM_161 05/02/2025</t>
  </si>
  <si>
    <t>CNPS-041-2025</t>
  </si>
  <si>
    <t>ANGÉLICA MARÍA PÉREZ LARGO</t>
  </si>
  <si>
    <t>CDP_77 29/01/2025</t>
  </si>
  <si>
    <t>COM_162 05/02/2025</t>
  </si>
  <si>
    <t>CNPS-042-2025</t>
  </si>
  <si>
    <t>CDP_120 29/01/2025</t>
  </si>
  <si>
    <t>COM_163 05/02/2025</t>
  </si>
  <si>
    <t>CNPS-043-2025</t>
  </si>
  <si>
    <t>CDP_136 29/01/2025</t>
  </si>
  <si>
    <t>COM_164 05/02/2025</t>
  </si>
  <si>
    <t>CNPS-044-2025</t>
  </si>
  <si>
    <t>CDP_86 29/01/2025</t>
  </si>
  <si>
    <t>COM_165 05/02/2025</t>
  </si>
  <si>
    <t>CNPS-045-2025</t>
  </si>
  <si>
    <t>LICETH ANDREA LEMOS CARDONA</t>
  </si>
  <si>
    <t>CDP_93 29/01/2025</t>
  </si>
  <si>
    <t>COM_166 05/02/2025</t>
  </si>
  <si>
    <t>CNPS-046-2025</t>
  </si>
  <si>
    <t>CDP_112 29/01/2025</t>
  </si>
  <si>
    <t>COM_167 06/02/2025</t>
  </si>
  <si>
    <t>CNPS-047-2025</t>
  </si>
  <si>
    <t>CDP_119 29/01/2025</t>
  </si>
  <si>
    <t>COM_168 06/02/2025</t>
  </si>
  <si>
    <t>CNPS-048-2025</t>
  </si>
  <si>
    <t>CDP_83 29/01/2025</t>
  </si>
  <si>
    <t>COM_169 06/02/2025</t>
  </si>
  <si>
    <t>CNPS-049-2025</t>
  </si>
  <si>
    <t>PRESTACIÓN DE SERVICIOS PROFESIONALES COMO PROFESIONAL EN TERAPIA RESPIRATORIA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</si>
  <si>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CDP_127 29/01/2025</t>
  </si>
  <si>
    <t>COM_170 06/02/2025</t>
  </si>
  <si>
    <t>CNPS-050-2025</t>
  </si>
  <si>
    <t>CDP_128 29/01/2025</t>
  </si>
  <si>
    <t>COM_171 06/02/2025</t>
  </si>
  <si>
    <t>CNPS-051-2025</t>
  </si>
  <si>
    <t>PRESTACIÓN DE SERVICIOS PROFESIONALES COMO COORDINADORA GENERAL EN LA OPERACIÓN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</si>
  <si>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CDP_109 29/01/2025</t>
  </si>
  <si>
    <t>COM_208 07/02/2025</t>
  </si>
  <si>
    <t>CNPS-052-2025</t>
  </si>
  <si>
    <t>PRESTACIÓN DE SERVICIOS DE APOYO A LA GESTIÓN COMO AUXILIAR ADMINISTRATIVO Y CONDUCTOR EN LA OPERACIÓN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</si>
  <si>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CDP_108 29/01/2025</t>
  </si>
  <si>
    <t>COM_209 07/02/2025</t>
  </si>
  <si>
    <t>CNPS-053-2025</t>
  </si>
  <si>
    <t>DEISSY TATIANA ACEVEDO PEREIRA</t>
  </si>
  <si>
    <t>CDP_98 29/01/2025</t>
  </si>
  <si>
    <t>COM_214 07/02/2025</t>
  </si>
  <si>
    <t>CNPS-054-2025</t>
  </si>
  <si>
    <t>CDP_115 29/01/2025</t>
  </si>
  <si>
    <t>COM_210 07/02/2025</t>
  </si>
  <si>
    <t>CNPS-055-2025</t>
  </si>
  <si>
    <t>MARIANA LOZANO GALLO</t>
  </si>
  <si>
    <t>CDP_113 29/01/2025</t>
  </si>
  <si>
    <t>COM_215 11/02/2025</t>
  </si>
  <si>
    <t>CNPS-056-2025</t>
  </si>
  <si>
    <t xml:space="preserve">PRESTACIÓN DE SERVICIOS DE APOYO A LA GESTIÓN DE TRANSPORTE PARA LA OPERACIÓN DE LOS EQUIPOS BÁSICOS DE SALUD EN EL FORTALECIMIENTO DE LA GESTIÓN TERRITORIAL BASADA EN ATENCIÓN PRIMARIA EN SALUD APS EN EL MARCO DE LA IMPLEMENTACIÓN DEL MODELO DE SALUD PREVENTIVO Y PREDICTIVO </t>
  </si>
  <si>
    <t>CDP_188 07/02/2025</t>
  </si>
  <si>
    <t>COM_211 12/02/2025</t>
  </si>
  <si>
    <t>CNPS-057-2025</t>
  </si>
  <si>
    <t>PRESTACION DE SERVICIOS PARA LA REALIZACION DE ACTIVIDADES DE MANTENIMIENTO PREVENTIVO Y CORRECTIVO DE EQUIPOS BIOMEDICOS EN EL HOSPITAL DEPARTAMENTAL SAN ANTONIO DE ROLDANILLO VALLE</t>
  </si>
  <si>
    <t>CDP_200 07/02/2025</t>
  </si>
  <si>
    <t>COM_212 12/02/2025</t>
  </si>
  <si>
    <t>CNPS-058-2025</t>
  </si>
  <si>
    <t>CDP_204 07/02/2025</t>
  </si>
  <si>
    <t>COM_213 12/02/2025</t>
  </si>
  <si>
    <t>CNPS-059-2025</t>
  </si>
  <si>
    <t>CDP_201 07/02/2024</t>
  </si>
  <si>
    <t>COM_217 17/02/2025</t>
  </si>
  <si>
    <t>CNPS-060-2025</t>
  </si>
  <si>
    <t>CDP_116 29/01/2029</t>
  </si>
  <si>
    <t>COM_218 17/02/2025</t>
  </si>
  <si>
    <t>CNPS-061-2025</t>
  </si>
  <si>
    <t>RADIACIONES DE COLOMBIA S.A.S.</t>
  </si>
  <si>
    <t>901902898-6</t>
  </si>
  <si>
    <t>CDP_234 14/02/2025</t>
  </si>
  <si>
    <t>COM_220 19/02/2025</t>
  </si>
  <si>
    <t>CNPS-062-2025</t>
  </si>
  <si>
    <t>PRESTACIÓN DE SERVICIOS LOGÍSTICOS Y SUMINISTRO DE DOTACIONES, INSUMOS, MATERIALES, DISPOSITIVOS MEDICOS, TECNOLOGIAS Y DEMÁS LOGISTICA NECESARIA PARA LA OPERACIÓN DE LOS EQUIPOS BÁSICOS DE SALUD EN EL FORTALECIMIENTO DE LA GESTIÓN TERRITORIAL BASADA EN ATENCIÓN PRIMARIA EN SALUD APS EN EL MARCO DE LA IMPLEMENTACIÓN DEL MODELO DE SALUD PREVENTIVO Y PREDICTIVO</t>
  </si>
  <si>
    <t>CDP_231 14/02/2025</t>
  </si>
  <si>
    <t>COM_221 20/02/2025</t>
  </si>
  <si>
    <t>CNPS-063-2025</t>
  </si>
  <si>
    <t>CDP_232 14/02/2025</t>
  </si>
  <si>
    <t>COM_222 20/02/2025</t>
  </si>
  <si>
    <t>CNPS-064-2025</t>
  </si>
  <si>
    <t>PRESTACION DE SERVICIOS PROFESIONALES EN CAPACITACION EN ENFERMEDADES INFECCIOSAS CON ENFASIS EN RESISTENCIA ANTIMICROBIANA Y PROGRAMA DE OPTIMIZACIÓN DEL USO DE ANTIMICROBIANOS (PROA) EN EL HOSPITAL DEPARTAMENTAL SAN ANTONIO ESE DE ROLDANILLO VALLE</t>
  </si>
  <si>
    <t>CDP_237 14/02/2025</t>
  </si>
  <si>
    <t>COM_241 25/05/2025</t>
  </si>
  <si>
    <t>CNPS-065-2025</t>
  </si>
  <si>
    <t>PRESTACIÓN DE SERVICIOS PROFESIONALES EN LA REALIZACIÓN DE APOYO DIAGNÓSTICOS Y TERAPEUTICO EN ENDOSCOPIA DIGESTIVA EN EL HOSPITAL DEPARTAMENTAL SAN ANTONIO E.S.E. DE ROLDANILLO VALLE</t>
  </si>
  <si>
    <t>ENDOCLINIC SALUD DIGESTIVA S.A.S.</t>
  </si>
  <si>
    <t>901801247-8</t>
  </si>
  <si>
    <t>CDP_236 14/02/2025</t>
  </si>
  <si>
    <t>COM_332 26/02/2025</t>
  </si>
  <si>
    <t>CDP_810</t>
  </si>
  <si>
    <t>COM_841</t>
  </si>
  <si>
    <t>CNPS-066-2025</t>
  </si>
  <si>
    <t>CDP_308 25/02/2025</t>
  </si>
  <si>
    <t>COM_333 28/02/2025</t>
  </si>
  <si>
    <t>CNPS-067-2025</t>
  </si>
  <si>
    <t>LINA MARCELA OCAMPO TASAMAD</t>
  </si>
  <si>
    <t>CDP_105 29/01/2025</t>
  </si>
  <si>
    <t>COM_380 03/03/2025</t>
  </si>
  <si>
    <t>CNPS-068-2025</t>
  </si>
  <si>
    <t>SANTIAGO JOSÉ CASTAÑO GÓMEZ</t>
  </si>
  <si>
    <t>CDP_99 29/01/2025</t>
  </si>
  <si>
    <t>COM_381 03/03/2025</t>
  </si>
  <si>
    <t>CNPS-069-2025</t>
  </si>
  <si>
    <t>MARÍA JOSÉ SÁNCHEZ HENAO</t>
  </si>
  <si>
    <t>CDP_104 29/01/2025</t>
  </si>
  <si>
    <t>COM_382 03/03/2025</t>
  </si>
  <si>
    <t>CNPS-070-2025</t>
  </si>
  <si>
    <t>MARÍA JOSÉ GARCÍA CORTES</t>
  </si>
  <si>
    <t>CDP_100 29/01/2025</t>
  </si>
  <si>
    <t>COM_383 03/03/2025</t>
  </si>
  <si>
    <t>CNPS-071-2025</t>
  </si>
  <si>
    <t>PRESTACIÓN DE SERVICIOS DE FORTALECIMIENTO Y ACOMPAÑAMIENTO REQUERIDO EN EL PROCESO DE SALUD PÚBLICA, QUE CORRESPONDE A LA EJECUCIÓN DEL CONTRATO INTERADMINISTRATIVO 1.220.17-17 13814 DE 2024 SUSCRITO CON LA SECRETARIA DE SALUD DEPARTAMENTAL DEL VALLE DEL CAUCA, DESCRITAS EN EL ANEXO TÉCNICO</t>
  </si>
  <si>
    <t>CDP_366 05/03/2025</t>
  </si>
  <si>
    <t>COM_371 18/03/2025</t>
  </si>
  <si>
    <t>01/07/2025                            03/07/2025              28/07/2025</t>
  </si>
  <si>
    <t>CDP_698             CDP_723</t>
  </si>
  <si>
    <t>COM_726                COM_745</t>
  </si>
  <si>
    <t>CNPS-072-2025</t>
  </si>
  <si>
    <t>PRESTACIÓN DE SERVICIOS DE APOYO A LA GESTIÓN EN EL TRANSPORTE ASISTENCIAL BÁSICO (TAB) INTERINSTITUCIONAL PARA USUARIOS DEL HOSPITAL DEPARTAMENTAL SAN ANTONIO E.S.E. DE ROLDANILLO VALLE</t>
  </si>
  <si>
    <t>FUL FENIX S.A.S.</t>
  </si>
  <si>
    <t>901293464-9</t>
  </si>
  <si>
    <t>CDP_388 26/03/2025</t>
  </si>
  <si>
    <t>COM_397 27/03/2025</t>
  </si>
  <si>
    <t>CNPS-073-2025</t>
  </si>
  <si>
    <t>PRESTACIÓN DE SERVICIOS DE FORTALECIMIENTO Y ACOMPAÑAMIENTO REQUERIDO EN LA EJECUCIÓN DEL CONVENIO INTERADMINISTRATIVO 2025111 SUSCRITO CON EL MUNICIPIO DE ROLDANILLO  VALLE DEL CAUCA, PARA EJECUTAR ACTIVIDADES DEL PLAN DE INTERVENCIONES COLECTIVAS DEL PLAN TERRITORIAL DE SALUD VIGENTE 2024-2027, EN LAS DIMENSIONES SALUD SEXUAL Y REPRODUCTIVA, GESTIÓN DE RIEGO EN TEMAS DE TRASTORNOS MENTALES, SITUACIONES PREVALENTES DE ORIGEN LABORAL, ENFERMEDADES EMERGENTES, REEMERGENTES Y DESATENDIDAS, ENFERMEDADES INMUNOPREVENIBLES, Y CONSUMO APROVECHAMIENTO BIOLÓGICO, CALIDAD E INOCUIDAD DE LOS ALIMENTOS, PROMOCIÓN DE SALUD Y RIESGOS ASOCIADOS CON CONDICIONES NO TRANSMISIBLES AÑO 2025, EN EL MUNICIPIO DE ROLDANILLO - VALLE DEL CAUCA</t>
  </si>
  <si>
    <t>CDP_403 07/04/2025</t>
  </si>
  <si>
    <t>COM_432 14/04/2025</t>
  </si>
  <si>
    <t>CNPS-074-2025</t>
  </si>
  <si>
    <t>CDP_515 09/05/2025</t>
  </si>
  <si>
    <t>COM_505 15/05/2025</t>
  </si>
  <si>
    <t>CNPS-075-2025</t>
  </si>
  <si>
    <t>CDP_531 09/05/2025</t>
  </si>
  <si>
    <t>COM_506 15/05/2025</t>
  </si>
  <si>
    <t>CNPS-076-2025</t>
  </si>
  <si>
    <t>CDP_532 09/05/2025</t>
  </si>
  <si>
    <t>COM_507 15/05/2025</t>
  </si>
  <si>
    <t>CNPS-077-2025</t>
  </si>
  <si>
    <t>PRESTACIÓN DE SERVICIOS DE APOYO A LA GESTIÓN COMO AUXILIAR DE ENFERMERÍA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</si>
  <si>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CDP_473 09/05/2025</t>
  </si>
  <si>
    <t>COM_508 15/05/2025</t>
  </si>
  <si>
    <t>CNPS-078-2025</t>
  </si>
  <si>
    <t>CDP_533 09/05/2025</t>
  </si>
  <si>
    <t>COM_509 15/05/2025</t>
  </si>
  <si>
    <t>CNPS-079-2025</t>
  </si>
  <si>
    <t>PRESTACIÓN DE SERVICIOS PROFESIONALES COMO PROFESIONAL EN FISIOTERAPIA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</si>
  <si>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CDP_524 09/05/2025</t>
  </si>
  <si>
    <t>COM_510 15/05/2025</t>
  </si>
  <si>
    <t>CNPS-080-2025</t>
  </si>
  <si>
    <t>PRESTACIÓN DE SERVICIOS PROFESIONALES COMO PROFESIONAL ENFERMERÍA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</si>
  <si>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CDP_507 09/05/2025</t>
  </si>
  <si>
    <t>COM_511 15/05/2025</t>
  </si>
  <si>
    <t>CNPS-081-2025</t>
  </si>
  <si>
    <t>PRESTACIÓN DE SERVICIOS PROFESIONALES COMO PROFESIONAL EN MEDICINA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</si>
  <si>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CDP_516 09/05/2025</t>
  </si>
  <si>
    <t>COM_512 15/05/2025</t>
  </si>
  <si>
    <t>CNPS-082-2025</t>
  </si>
  <si>
    <t>CDP_474 09/05/2025</t>
  </si>
  <si>
    <t>COM_513 15/05/2025</t>
  </si>
  <si>
    <t>CNPS-083-2025</t>
  </si>
  <si>
    <t>CDP_512 09/05/2025</t>
  </si>
  <si>
    <t>COM_514 15/05/2025</t>
  </si>
  <si>
    <t>CNPS-084-2025</t>
  </si>
  <si>
    <t>CDP_508 09/05/2025</t>
  </si>
  <si>
    <t>COM_515 15/05/2025</t>
  </si>
  <si>
    <t>CNPS-085-2025</t>
  </si>
  <si>
    <t>CDP_509 09/05/2025</t>
  </si>
  <si>
    <t>COM_516 15/05/2025</t>
  </si>
  <si>
    <t>CNPS-086-2025</t>
  </si>
  <si>
    <t>CDP_534 09/05/2025</t>
  </si>
  <si>
    <t>COM_517 15/05/2025</t>
  </si>
  <si>
    <t>CNPS-087-2025</t>
  </si>
  <si>
    <t>PRESTACIÓN DE SERVICIOS PROFESIONALES COMO PROFESIONAL EN FISIOTERAPEUTA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</si>
  <si>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CDP_525 09/05/2025</t>
  </si>
  <si>
    <t>COM_518 15/05/2025</t>
  </si>
  <si>
    <t>CNPS-088-2025</t>
  </si>
  <si>
    <t>CDP_476 09/05/2025</t>
  </si>
  <si>
    <t>COM_546 15/05/2025</t>
  </si>
  <si>
    <t>CNPS-089-2025</t>
  </si>
  <si>
    <t>CDP_535 09/05/2025</t>
  </si>
  <si>
    <t>COM_519 15/05/2025</t>
  </si>
  <si>
    <t>CNPS-090-2025</t>
  </si>
  <si>
    <t>CDP_477 09/05/2025</t>
  </si>
  <si>
    <t>COM_520 15/05/2025</t>
  </si>
  <si>
    <t>CNPS-091-2025</t>
  </si>
  <si>
    <t>CDP_478 09/05/2025</t>
  </si>
  <si>
    <t>COM_521 15/05/2025</t>
  </si>
  <si>
    <t>CNPS-092-2025</t>
  </si>
  <si>
    <t>PRESTACIÓN DE SERVICIOS PROFESIONALES COMO PROFESIONAL EN ODONTOLOGÍA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</si>
  <si>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CDP_523 09/05/2025</t>
  </si>
  <si>
    <t>COM_522 15/05/2025</t>
  </si>
  <si>
    <t>CNPS-093-2025</t>
  </si>
  <si>
    <t>CDP_479 09/05/2025</t>
  </si>
  <si>
    <t>COM_523 15/05/2025</t>
  </si>
  <si>
    <t>CNPS-094-2025</t>
  </si>
  <si>
    <t>CDP_536 09/05/2025</t>
  </si>
  <si>
    <t>COM_524 15/05/2025</t>
  </si>
  <si>
    <t>CNPS-095-2025</t>
  </si>
  <si>
    <t>CDP_480 09/05/2025</t>
  </si>
  <si>
    <t>COM_525 15/05/2025</t>
  </si>
  <si>
    <t>CNPS-096-2025</t>
  </si>
  <si>
    <t>CDP_510 09/05/2025</t>
  </si>
  <si>
    <t>COM_526 15/05/2025</t>
  </si>
  <si>
    <t>CNPS-097-2025</t>
  </si>
  <si>
    <t>CDP_481 09/05/2025</t>
  </si>
  <si>
    <t>COM_527 15/05/2025</t>
  </si>
  <si>
    <t>CNPS-098-2025</t>
  </si>
  <si>
    <t>CDP_482 09/05/2025</t>
  </si>
  <si>
    <t>COM_528 15/05/2025</t>
  </si>
  <si>
    <t>CNPS-099-2025</t>
  </si>
  <si>
    <t>CDP_483 09/05/2025</t>
  </si>
  <si>
    <t>COM_529 15/05/2025</t>
  </si>
  <si>
    <t>CNPS-100-2025</t>
  </si>
  <si>
    <t>CDP_526 09/05/2025</t>
  </si>
  <si>
    <t>COM_530 15/05/2025</t>
  </si>
  <si>
    <t>CNPS-101-2025</t>
  </si>
  <si>
    <t>CDP_537 09/05/2025</t>
  </si>
  <si>
    <t>COM_531 15/05/2025</t>
  </si>
  <si>
    <t>CNPS-102-2025</t>
  </si>
  <si>
    <t>CDP_484 09/05/2025</t>
  </si>
  <si>
    <t>COM_532 15/05/2025</t>
  </si>
  <si>
    <t>CNPS-103-2025</t>
  </si>
  <si>
    <t>CDP_485 09/05/2025</t>
  </si>
  <si>
    <t>COM_533 15/05/2025</t>
  </si>
  <si>
    <t>CNPS-104-2025</t>
  </si>
  <si>
    <t>CDP_486 09/05/2025</t>
  </si>
  <si>
    <t>COM_534 15/05/2025</t>
  </si>
  <si>
    <t>CNPS-105-2025</t>
  </si>
  <si>
    <t>CDP_511 09/05/2025</t>
  </si>
  <si>
    <t>COM_535 15/05/2025</t>
  </si>
  <si>
    <t>CNPS-106-2025</t>
  </si>
  <si>
    <t>PRESTACIÓN DE SERVICIOS PROFESIONALES COMO PROFESIONAL EN TERAPIA RESPIRATORIA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</si>
  <si>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CDP_527 09/05/2025</t>
  </si>
  <si>
    <t>COM_536 15/05/2025</t>
  </si>
  <si>
    <t>CNPS-107-2025</t>
  </si>
  <si>
    <t>CDP_487 09/05/2025</t>
  </si>
  <si>
    <t>COM_537 15/05/2025</t>
  </si>
  <si>
    <t>CNPS-108-2025</t>
  </si>
  <si>
    <t>CDP_488 09/05/2025</t>
  </si>
  <si>
    <t>COM_538 15/05/2025</t>
  </si>
  <si>
    <t>CNPS-109-2025</t>
  </si>
  <si>
    <t>CDP_489 09/05/2025</t>
  </si>
  <si>
    <t>COM_539 15/05/2025</t>
  </si>
  <si>
    <t>CNPS-110-2025</t>
  </si>
  <si>
    <t>PRESTACIÓN DE SERVICIOS PROFESIONALES Y/O DE APOYO A LA GESTIÓN COMO PROFESIONAL EN MEDICINA EN LA OPERACIÓN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</si>
  <si>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DANIEL ALEJANDRO LÓPEZ HERNÁNDEZ</t>
  </si>
  <si>
    <t>CDP_557 19/05/2025</t>
  </si>
  <si>
    <t>COM_549 19/05/2025</t>
  </si>
  <si>
    <t>CNPS-111-2025</t>
  </si>
  <si>
    <t>CDP_528 09/05/2025</t>
  </si>
  <si>
    <t>COM_540 15/05/2025</t>
  </si>
  <si>
    <t>CNPS-112-2025</t>
  </si>
  <si>
    <t>CDP_529 09/05/2025</t>
  </si>
  <si>
    <t>COM_541 15/05/2025</t>
  </si>
  <si>
    <t>CNPS-113-2025</t>
  </si>
  <si>
    <t>PRESTACIÓN DE SERVICIOS PROFESIONALES COMO COORDINADORA GENERAL EN LA OPERACIÓN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</si>
  <si>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CDP_506 09/05/2025</t>
  </si>
  <si>
    <t>COM_542 15/05/2025</t>
  </si>
  <si>
    <t>CDP_655</t>
  </si>
  <si>
    <t>COM_697</t>
  </si>
  <si>
    <t>CNPS-114-2025</t>
  </si>
  <si>
    <t>PRESTACIÓN DE SERVICIOS DE APOYO A LA GESTIÓN COMO AUXILIAR ADMINISTRATIVO Y CONDUCTOR EN LA OPERACIÓN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</si>
  <si>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CDP_505 09/05/2025</t>
  </si>
  <si>
    <t>COM_543 15/05/2025</t>
  </si>
  <si>
    <t>CNPS-115-2025</t>
  </si>
  <si>
    <t>CDP_518 09/05/2025</t>
  </si>
  <si>
    <t>COM_544 15/05/2025</t>
  </si>
  <si>
    <t>CNPS-116-2025</t>
  </si>
  <si>
    <t>CDP_475 09/05/2025</t>
  </si>
  <si>
    <t>COM_545 15/05/2025</t>
  </si>
  <si>
    <t>CNPS-117-2025</t>
  </si>
  <si>
    <t>SOFÍA SALAZAR VARON</t>
  </si>
  <si>
    <t>CDP_513 09/05/2025</t>
  </si>
  <si>
    <t>COM_547 15/05/2025</t>
  </si>
  <si>
    <t>CNPS-118-2025</t>
  </si>
  <si>
    <t>CINDY LORENA CUERVO CALLEJAS</t>
  </si>
  <si>
    <t>CDP_490 09/05/2025</t>
  </si>
  <si>
    <t>COM_548 15/05/2025</t>
  </si>
  <si>
    <t>CNPS-119-2025</t>
  </si>
  <si>
    <t>CDP_491 09/05/2025</t>
  </si>
  <si>
    <t>COM_550 19/05/2025</t>
  </si>
  <si>
    <t>CNPS-120-2025</t>
  </si>
  <si>
    <t>CDP_492 09/05/2025</t>
  </si>
  <si>
    <t>COM_551 19/05/2025</t>
  </si>
  <si>
    <t>CNPS-121-2025</t>
  </si>
  <si>
    <t>BELKIS ISABEL CAICEDO VELOZA</t>
  </si>
  <si>
    <t>CDP_493 09/05/2025</t>
  </si>
  <si>
    <t>COM_553 19/05/2025</t>
  </si>
  <si>
    <t>CNPS-122-2025</t>
  </si>
  <si>
    <t>DIANA MILENA OSPINA GARCIA</t>
  </si>
  <si>
    <t>CDP_494 09/05/2025</t>
  </si>
  <si>
    <t>COM_554 19/05/2025</t>
  </si>
  <si>
    <t>CNPS-123-2025</t>
  </si>
  <si>
    <t>LEIDY VIVIANA BECERRA FRANCO</t>
  </si>
  <si>
    <t>CDP_495 09/05/2025</t>
  </si>
  <si>
    <t>COM_555 19/05/2025</t>
  </si>
  <si>
    <t>CNPS-124-2025</t>
  </si>
  <si>
    <t>MARÍA PAULA MEJÍA MORALES</t>
  </si>
  <si>
    <t>CDP_496 09/05/2025</t>
  </si>
  <si>
    <t>COM_556 19/05/2025</t>
  </si>
  <si>
    <t>CNPS-125-2025</t>
  </si>
  <si>
    <t>MAYRA ALEJANDRA DÍAZ MESA</t>
  </si>
  <si>
    <t>CDP_497 09/05/2025</t>
  </si>
  <si>
    <t>COM_557 19/05/2025</t>
  </si>
  <si>
    <t>CNPS-126-2025</t>
  </si>
  <si>
    <t>PRESTACIÓN DE SERVICIOS PROFESIONALES Y/O DE APOYO A LA GESTIÓN COMO PROFESIONAL EN TRABAJO SOCIAL EN LA OPERACIÓN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</si>
  <si>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ISABELA GÓMEZ ORTÍZ</t>
  </si>
  <si>
    <t>CDP_563 19/05/2025</t>
  </si>
  <si>
    <t>COM_558 19/05/2025</t>
  </si>
  <si>
    <t>CNPS-127-2025</t>
  </si>
  <si>
    <t>YURI CARIME LEMOS ZAPATA</t>
  </si>
  <si>
    <t>CDP_514 09/05/2025</t>
  </si>
  <si>
    <t>COM_559 19/05/2025</t>
  </si>
  <si>
    <t>CNPS-128-2025</t>
  </si>
  <si>
    <t>PRESTACIÓN DE SERVICIOS PROFESIONALES Y/O DE APOYO A LA GESTIÓN COMO PROFESIONAL EN ENFERMERÍA EN LA OPERACIÓN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</si>
  <si>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DAY JULIETH MEJÍA RESTREPO</t>
  </si>
  <si>
    <t>CDP_559 19/05/2025</t>
  </si>
  <si>
    <t>COM_560 19/05/2025</t>
  </si>
  <si>
    <t>CNPS-129-2025</t>
  </si>
  <si>
    <t>ANDRES FELIPE SOLARTE MANQUILLO</t>
  </si>
  <si>
    <t>CDP_517 09/05/2025</t>
  </si>
  <si>
    <t>COM_561 19/05/2025</t>
  </si>
  <si>
    <t>CNPS-130-2025</t>
  </si>
  <si>
    <t>PRESTACIÓN DE SERVICIOS PROFESIONALES Y/O DE APOYO A LA GESTIÓN COMO PROFESIONAL EN ODONTOLOGÍA EN LA OPERACIÓN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</si>
  <si>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ISABELLA VALLEJO MAYOR</t>
  </si>
  <si>
    <t>CDP_560 19/05/2025</t>
  </si>
  <si>
    <t>COM_562 20/05/2025</t>
  </si>
  <si>
    <t>CNPS-131-2025</t>
  </si>
  <si>
    <t>PRESTACIÓN DE SERVICIOS PROFESIONALES Y/O DE APOYO A LA GESTIÓN COMO PROFESIONAL EN AUXILIAR DE ENFERMERÍA EN LA OPERACIÓN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</si>
  <si>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MARÍA HELENA QUINTERO GONZÁLEZ</t>
  </si>
  <si>
    <t>CDP_558 19/05/2025</t>
  </si>
  <si>
    <t>COM_563 20/05/2025</t>
  </si>
  <si>
    <t>CNPS-132-2025</t>
  </si>
  <si>
    <t>PRESTACIÓN DE SERVICIOS PROFESIONALES Y/O DE APOYO A LA GESTIÓN COMO PROFESIONAL EN PSICOLOGÍA EN LA OPERACIÓN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</si>
  <si>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VICTORIA EUGENIA POLO BENÍTEZ</t>
  </si>
  <si>
    <t>CDP_562 19/05/2025</t>
  </si>
  <si>
    <t>COM_564 20/05/2025</t>
  </si>
  <si>
    <t>CNPS-133-2025</t>
  </si>
  <si>
    <t>PRESTACIÓN DE SERVICIOS PROFESIONALES COMO PROFESIONAL EN TRABAJO SOCIAL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</si>
  <si>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LINA MARÍA ARANGO CARDONA</t>
  </si>
  <si>
    <t>CDP_538 09/05/2025</t>
  </si>
  <si>
    <t>COM_565 20/05/2025</t>
  </si>
  <si>
    <t>CNPS-134-2025</t>
  </si>
  <si>
    <t>PRESTACION DE SERVICIOS DE APOYO A LA GESTION DE TRANSPORTE PARA LA OPERACIÓN DE LOS EQUIPOS BÁSICOS DE SALUD EN EL FORTALECIMIENTO DE LA GESTIÓN TERRITORIAL BASADA EN ATENCIÓN PRIMARIA EN SALUD - APS EN EL MARCO DE LA IMPLEMENTACIÓN DEL MODELO DE SALUD PREVENTIVO Y PREDICTIVO</t>
  </si>
  <si>
    <t>CDP_553 09/05/2025</t>
  </si>
  <si>
    <t>COM_578 20/05/2025</t>
  </si>
  <si>
    <t>CDP_722</t>
  </si>
  <si>
    <t>COM_746</t>
  </si>
  <si>
    <t>CNPS-135-2025</t>
  </si>
  <si>
    <t>CDP_598 26/05/2025</t>
  </si>
  <si>
    <t>COM_579 26/05/2025</t>
  </si>
  <si>
    <t>CNPS-136-2025</t>
  </si>
  <si>
    <t>PRESTACIÓN DE SERVICIOS LOGÍSTICOS Y SUMINISTRO DE DOTACIONES, INSUMOS, MATERIALES, DISPOSITIVOS MÉDICOS, TECNOLOGÍAS Y DEMÁS ELEMENTOS NECESARIOS PARA LA OPERACIÓN DE LOS EQUIPOS BÁSICOS DE SALUD EN EL FORTALECIMIENTO DE LA GESTIÓN TERRITORIAL BASADA EN ATENCIÓN PRIMARIA EN SALUD APS EN EL MARCO DE LA IMPLEMENTACIÓN DEL MODELO DE SALUD PREVENTIVO Y PREDICTIVO</t>
  </si>
  <si>
    <t>CDP_552  09/05/2025</t>
  </si>
  <si>
    <t>COM_580 26/05/2025</t>
  </si>
  <si>
    <t>CNPS-137-2025</t>
  </si>
  <si>
    <t>PRESTACIÓN DE SERVICIOS DE APOYO A LA GESTIÓN COMO AUXILIAR DE ENFERMERÍA EN LA OPERACIÓN DE UNO DE LOS EQUIPOS BÁSICOS DE SALUD (URBANO) EN EL FORTALECIMIENTO DE LA GESTIÓN TERRITORIAL BASADA EN ATENCIÓN PRIMARIA EN SALUD APS EN EL MARCO DE LA IMPLEMENTACIÓN DEL MODELO DE SALUD PREVENTIVO Y PREDICTIVO PARA AVANZAR EN LA GARANTÍA DEL DERECHO FUNDAMENTAL A LA SALUD EN EL MUNICIPIO DE ROLDANILLO VALLE DEL CAUCA</t>
  </si>
  <si>
    <t>MICHAEL YORWELL LUJANO ONTIVEROS</t>
  </si>
  <si>
    <t>CDP_586 26/05/2025</t>
  </si>
  <si>
    <t>COM_581 26/05/2025</t>
  </si>
  <si>
    <t>CNPS-138-2025</t>
  </si>
  <si>
    <t>SERGIO MURILLO DÍAZ</t>
  </si>
  <si>
    <t>CDP_587 26/05/2025</t>
  </si>
  <si>
    <t>COM_582 26/05/2025</t>
  </si>
  <si>
    <t>CNPS-140-2025</t>
  </si>
  <si>
    <t>SANTIAGO CHIQUITO ORTIZ</t>
  </si>
  <si>
    <t>CDP_589 26/05/2025</t>
  </si>
  <si>
    <t>COM_583 26/05/2025</t>
  </si>
  <si>
    <t>CNPS-141-2025</t>
  </si>
  <si>
    <t>JULIÁN ANDRÉS RODRÍGUEZ ATEHORTÚA</t>
  </si>
  <si>
    <t>CDP_590 26/05/2025</t>
  </si>
  <si>
    <t>COM_584 26/05/2025</t>
  </si>
  <si>
    <t>CNPS-142-2025</t>
  </si>
  <si>
    <t>ROSALBA PÉREZ BOLÍVAR</t>
  </si>
  <si>
    <t>CDP_591 26/05/2025</t>
  </si>
  <si>
    <t>COM_585 26/05/2025</t>
  </si>
  <si>
    <t>CNPS-143-2025</t>
  </si>
  <si>
    <t>PRESTACIÓN DE SERVICIOS DE APOYO A LA GESTIÓN COMO GESTOR COMUNITARIO EN LA OPERACIÓN DE UNO DE LOS EQUIPOS BÁSICOS DE SALUD (URBANO) EN EL FORTALECIMIENTO DE LA GESTIÓN TERRITORIAL BASADA EN ATENCIÓN PRIMARIA EN SALUD APS EN EL MARCO DE LA IMPLEMENTACIÓN DEL MODELO DE SALUD PREVENTIVO Y PREDICTIVO PARA AVANZAR EN LA GARANTÍA DEL DERECHO FUNDAMENTAL A LA SALUD EN EL MUNICIPIO DE ROLDANILLO VALLE DEL CAUCA</t>
  </si>
  <si>
    <t>CARLOS ALBERTO ESPINOSA SÁNCHEZ</t>
  </si>
  <si>
    <t>CDP_592 26/05/2025</t>
  </si>
  <si>
    <t>COM_586 26/05/2025</t>
  </si>
  <si>
    <t>CDP_651</t>
  </si>
  <si>
    <t>COM_698</t>
  </si>
  <si>
    <t>CNPS-144-2025</t>
  </si>
  <si>
    <t>JUAN DAVID ZAPATA ÁLVAREZ</t>
  </si>
  <si>
    <t>CDP_593 26/05/2025</t>
  </si>
  <si>
    <t>COM_587 26/05/2025</t>
  </si>
  <si>
    <t>CDP_652</t>
  </si>
  <si>
    <t>COM_699</t>
  </si>
  <si>
    <t>CNPS-145-2025</t>
  </si>
  <si>
    <t>PRESTACIÓN DE SERVICIOS DE APOYO A LA GESTIÓN COMO PROFESIONAL EN PSICOLOGÍA EN LA OPERACIÓN DE UNO DE LOS EQUIPOS BÁSICOS DE SALUD (RURAL) EN EL FORTALECIMIENTO DE LA GESTIÓN TERRITORIAL BASADA EN ATENCIÓN PRIMARIA EN SALUD APS EN EL MARCO DE LA IMPLEMENTACIÓN DEL MODELO DE SALUD PREVENTIVO Y PREDICTIVO PARA AVANZAR EN LA GARANTÍA DEL DERECHO FUNDAMENTAL A LA SALUD EN EL MUNICIPIO DE ROLDANILLO VALLE DEL CAUCA</t>
  </si>
  <si>
    <t>FABIOLA GONZÁLEZ GONZÁLEZ</t>
  </si>
  <si>
    <t>CDP_568 26/05/2025</t>
  </si>
  <si>
    <t>COM_588 26/05/2025</t>
  </si>
  <si>
    <t>CNPS-146-2025</t>
  </si>
  <si>
    <t>PRESTACIÓN DE SERVICIOS DE APOYO A LA GESTIÓN COMO PROFESIONAL EN ENFERMERÍA EN LA OPERACIÓN DE UNO DE LOS EQUIPOS BÁSICOS DE SALUD (RURAL) EN EL FORTALECIMIENTO DE LA GESTIÓN TERRITORIAL BASADA EN ATENCIÓN PRIMARIA EN SALUD APS EN EL MARCO DE LA IMPLEMENTACIÓN DEL MODELO DE SALUD PREVENTIVO Y PREDICTIVO PARA AVANZAR EN LA GARANTÍA DEL DERECHO FUNDAMENTAL A LA SALUD EN EL MUNICIPIO DE ROLDANILLO VALLE DEL CAUCA</t>
  </si>
  <si>
    <t>CDP_570 26/05/2025</t>
  </si>
  <si>
    <t>COM_589 26/05/2025</t>
  </si>
  <si>
    <t>CNPS-147-2025</t>
  </si>
  <si>
    <t>LUISA FERNANDA BECERRA PÉREZ</t>
  </si>
  <si>
    <t>CDP_571 26/05/2025</t>
  </si>
  <si>
    <t>COM_590 26/05/2025</t>
  </si>
  <si>
    <t>CNPS-148-2025</t>
  </si>
  <si>
    <t>PRESTACIÓN DE SERVICIOS DE APOYO A LA GESTIÓN COMO AUXILIAR DE ENFERMERÍA EN LA OPERACIÓN DE UNO DE LOS EQUIPOS BÁSICOS DE SALUD (RURAL) EN EL FORTALECIMIENTO DE LA GESTIÓN TERRITORIAL BASADA EN ATENCIÓN PRIMARIA EN SALUD - APS EN EL MARCO DE LA IMPLEMENTACIÓN DEL MODELO DE SALUD PREVENTIVO Y PREDICTIVO PARA AVANZAR EN LA GARANTIA DEL DERECHO FUNDAMENTAL A LA SALUD EN EL MUNICIPIO DE ROLDANILLO, VALLE DEL CAUCA</t>
  </si>
  <si>
    <t>LAURA STEFANY VELÁSQUEZ POSADA</t>
  </si>
  <si>
    <t>CDP_572 26/05/2025</t>
  </si>
  <si>
    <t>COM_591 28/05/2025</t>
  </si>
  <si>
    <t>CNPS-149-2025</t>
  </si>
  <si>
    <t>LEYDI ALEJANDRA GIL MONROY</t>
  </si>
  <si>
    <t>CDP_573 26/05/2025</t>
  </si>
  <si>
    <t>COM_592 29/05/2025</t>
  </si>
  <si>
    <t>CNPS-150-2025</t>
  </si>
  <si>
    <t>LUZ AMPARO GARCIA GUTIERREZ</t>
  </si>
  <si>
    <t>CDP_574 26/05/2025</t>
  </si>
  <si>
    <t>COM_593 29/05/2025</t>
  </si>
  <si>
    <t>CNPS-151-2025</t>
  </si>
  <si>
    <t>ISABELLA MOSQUERA LLANOS</t>
  </si>
  <si>
    <t>CDP_575 26/05/2025</t>
  </si>
  <si>
    <t>COM_594 29/05/2025</t>
  </si>
  <si>
    <t>CNPS-152-2025</t>
  </si>
  <si>
    <t>VALENTINA RODRIGUEZ ESCOBAR</t>
  </si>
  <si>
    <t>CDP_576 26/05/2025</t>
  </si>
  <si>
    <t>COM_595 29/05/2025</t>
  </si>
  <si>
    <t>CNPS-153-2025</t>
  </si>
  <si>
    <t>PRESTACIÓN DE SERVICIOS DE APOYO A LA GESTIÓN COMO GESTOR COMUNITARIO EN LA OPERACIÓN DE UNO DE LOS EQUIPOS BÁSICOS DE SALUD (RURAL) EN EL FORTALECIMIENTO DE LA GESTIÓN TERRITORIAL BASADA EN ATENCIÓN PRIMARIA EN SALUD - APS EN EL MARCO DE LA IMPLEMENTACIÓN DEL MODELO DE SALUD PREVENTIVO Y PREDICTIVO PARA AVANZAR EN LA GARANTIA DEL DERECHO FUNDAMENTAL A LA SALUD EN EL MUNICIPIO DE ROLDANILLO, VALLE DEL CAUCA</t>
  </si>
  <si>
    <t>DANIEL ALEJANDRO SOSA NOVOA</t>
  </si>
  <si>
    <t>CDP_580 26/05/2025</t>
  </si>
  <si>
    <t>COM_596 29/05/2025</t>
  </si>
  <si>
    <t>CDP_653</t>
  </si>
  <si>
    <t>COM_700</t>
  </si>
  <si>
    <t>CNPS-154-2025</t>
  </si>
  <si>
    <t>PRESTACIÓN DE SERVICIOS PROFESIONALES COMO PROFESIONAL COMPLEMENTARIO  EN LA OPERACIÓN DE UNO DE LOS EQUIPOS BÁSICOS DE SALUD (URBANO) EN EL FORTALECIMIENTO DE LA GESTIÓN TERRITORIAL BASADA EN ATENCIÓN PRIMARIA EN SALUD - APS EN EL MARCO DE LA IMPLEMENTACIÓN DEL MODELO DE SALUD PREVENTIVO Y PREDICTIVO PARA AVANZAR EN LA GARANTIA DEL DERECHO FUNDAMENTAL A LA SALUD EN EL MUNICIPIO DE ROLDANILLO, VALLE DEL CAUCA</t>
  </si>
  <si>
    <t>YENNIFER LÓPEZ CORREA</t>
  </si>
  <si>
    <t>CDP_583 26/05/2025</t>
  </si>
  <si>
    <t>COM_597 29/05/2025</t>
  </si>
  <si>
    <t>CNPS-155-2025</t>
  </si>
  <si>
    <t>RUBIELA DEL CARMEN GONZALEZ GONZALEZ</t>
  </si>
  <si>
    <t>CDP_599 26/05/2025</t>
  </si>
  <si>
    <t>COM_598 30/05/2025</t>
  </si>
  <si>
    <t>CNPS-156-2025</t>
  </si>
  <si>
    <t>LADY YOHANA TOBAR ALZATE</t>
  </si>
  <si>
    <t>CDP_498 26/05/2025</t>
  </si>
  <si>
    <t>COM_599 30/05/2025</t>
  </si>
  <si>
    <t>CNPS-157-2025</t>
  </si>
  <si>
    <t>JAZMIN LORENA ISAZA RODRIGUEZ</t>
  </si>
  <si>
    <t>CDP_499 26/05/2025</t>
  </si>
  <si>
    <t>COM_600 30/05/2025</t>
  </si>
  <si>
    <t>CNPS-158-2025</t>
  </si>
  <si>
    <t>PRESTACIÓN DE SERVICIOS DE APOYO A LA GESTIÓN COMO PROFESIONAL EN PSICOLOGÍA EN LA OPERACIÓN DE UNO DE LOS EQUIPOS BÁSICOS DE SALUD (URBANO) EN EL FORTALECIMIENTO DE LA GESTIÓN TERRITORIAL BASADA EN ATENCIÓN PRIMARIA EN SALUD APS EN EL MARCO DE LA IMPLEMENTACIÓN DEL MODELO DE SALUD PREVENTIVO Y PREDICTIVO PARA AVANZAR EN LA GARANTÍA DEL DERECHO FUNDAMENTAL A LA SALUD EN EL MUNICIPIO DE ROLDANILLO VALLE DEL CAUCA</t>
  </si>
  <si>
    <t>ÁNGELA MARÍA NÚÑEZ CORREA</t>
  </si>
  <si>
    <t>CDP_582 26/05/2025</t>
  </si>
  <si>
    <t>COM_601 30/05/2025</t>
  </si>
  <si>
    <t>CNPS-159-2025</t>
  </si>
  <si>
    <t>PRESTACIÓN DE SERVICIOS DE APOYO A LA GESTIÓN COMO PROFESIONAL EN MEDICINA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t>
  </si>
  <si>
    <t>CDP_519 26/05/2025</t>
  </si>
  <si>
    <t>COM_602 30/05/2025</t>
  </si>
  <si>
    <t>CNPS-160-2025</t>
  </si>
  <si>
    <t>MARÍA VALENTINA ARISTIZABAL LÓPEZ</t>
  </si>
  <si>
    <t>CDP_530 26/05/2025</t>
  </si>
  <si>
    <t>COM_604 30/05/2025</t>
  </si>
  <si>
    <t>CNPS-161-2025</t>
  </si>
  <si>
    <t>PRESTACION DE SERVICIOS DE APOYO A LA GESTION DE TRANSPORTE URBANO – RURAL (RESOLUCIÓN 1397) PARA LA OPERACIÓN DE LOS EQUIPOS BÁSICOS DE SALUD EN EL FORTALECIMIENTO DE LA GESTIÓN TERRITORIAL BASADA EN ATENCIÓN PRIMARIA EN SALUD - APS EN EL MARCO DE LA IMPLEMENTACIÓN DEL MODELO DE SALUD PREVENTIVO Y PREDICTIVO</t>
  </si>
  <si>
    <t>CDP_594 09/05/2025</t>
  </si>
  <si>
    <t>COM_634 03/06/2025</t>
  </si>
  <si>
    <t>CNPS-162-2025</t>
  </si>
  <si>
    <t>PRESTACIÓN DE SERVICIOS LOGÍSTICOS Y SUMINISTRO DE DOTACIONES, INSUMOS, MATERIALES, DISPOSITIVOS MEDICOS, TECNOLOGÍAS Y DEMÁS ELEMENTOS NECESARIOS PARA LA OPERACIÓN DE LOS EQUIPOS BÁSICOS DE SALUD EN EL FORTALECIMIENTO DE LA GESTIÓN TERRITORIAL BASADA EN ATENCIÓN PRIMARIA EN SALUD - APS EN EL MARCO DE LA IMPLEMENTACIÓN DEL MODELO DE SALUD PREVENTIVO Y PREDICTIVO (RESOLUCIÓN 1397 DE 2024)</t>
  </si>
  <si>
    <t>CDP_595 26/05/2025</t>
  </si>
  <si>
    <t>COM_635 03/06/2025</t>
  </si>
  <si>
    <t>CNPS-163-2025</t>
  </si>
  <si>
    <t>ANA JIMENA LONDOÑO</t>
  </si>
  <si>
    <t>CDP_500 09/05/2025</t>
  </si>
  <si>
    <t>COM_636 03/06/2025</t>
  </si>
  <si>
    <t>CNPS-164-2025</t>
  </si>
  <si>
    <t>VALERIA CARDENAS PARRA</t>
  </si>
  <si>
    <t>CDP_642 06/06/2025</t>
  </si>
  <si>
    <t>COM_638 03/06/2025</t>
  </si>
  <si>
    <t>CNPS-165-2025</t>
  </si>
  <si>
    <t>PRESTACIÓN DE SERVICIOS PROFESIONALES Y/O DE APOYO A LA GESTIÓN COMO AUXILIAR ADMINISTRATIVO EN LA OPERACIÓN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</si>
  <si>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CDP_603 26/05/2025</t>
  </si>
  <si>
    <t>COM_637 03/06/2025</t>
  </si>
  <si>
    <t>CNPS-166-2025</t>
  </si>
  <si>
    <t>ANDREA ESTEFANIA VICTORIA GALLEGO</t>
  </si>
  <si>
    <t>CDP_520 09/05/2025</t>
  </si>
  <si>
    <t>COM_639 03/06/2025</t>
  </si>
  <si>
    <t>CNPS-167-2025</t>
  </si>
  <si>
    <t>MAIRA ALEXANDRA ESCALANTE OSORIO</t>
  </si>
  <si>
    <t>CDP_656 12/06/2025</t>
  </si>
  <si>
    <t>COM_673 16/06/2025</t>
  </si>
  <si>
    <t>CNPS-169-2025</t>
  </si>
  <si>
    <t>PRESTACIÓN DE SERVICIOS PROFESIONALES COMO PROFESIONAL EN ENFERMERÍA EN LA OPERACIÓN DE UNO DE LOS EQUIPOS BÁSICOS DE SALUD (URBANO) EN EL FORTALECIMIENTO DE LA GESTIÓN TERRITORIAL BASADA EN ATENCIÓN PRIMARIA EN SALUD APS EN EL MARCO DE LA IMPLEMENTACIÓN DEL MODELO DE SALUD PREVENTIVO Y PREDICTIVO PARA AVANZAR EN LA GARANTÍA DEL DERECHO FUNDAMENTAL A LA SALUD EN EL MUNICIPIO DE ROLDANILLO VALLE DEL CAUCA</t>
  </si>
  <si>
    <t>JUAN PABLO BURGOS GARCÍA</t>
  </si>
  <si>
    <t>CDP_584 26/05/2025</t>
  </si>
  <si>
    <t>COM_674 25/06/2025</t>
  </si>
  <si>
    <t>CNPS-170-2025</t>
  </si>
  <si>
    <t>DIEGO FERNANDO MARTÍNEZ ORDOÑEZ</t>
  </si>
  <si>
    <t>CDP_521 09/05/2025</t>
  </si>
  <si>
    <t>COM_677 25/06/2025</t>
  </si>
  <si>
    <t>CNPS-171-2025</t>
  </si>
  <si>
    <t>PRESTACIÓN DE SERVICIOS PROFESIONALES COMO PROFESIONAL EN ENFERMERIA EN LA OPERACIÓN DE UNO DE LOS EQUIPOS BÁSICOS DE SALUD (URBANO) EN EL FORTALECIMIENTO DE LA GESTIÓN TERRITORIAL BASADA EN ATENCIÓN PRIMARIA EN SALUD - APS EN EL MARCO DE LA IMPLEMENTACIÓN DEL MODELO DE SALUD PREVENTIVO Y PREDICTIVO PARA AVANZAR EN LA GARANTIA DEL DERECHO FUNDAMENTAL A LA SALUD EN EL MUNICIPIO DE ROLDANILLO, VALLE DEL CAUCA</t>
  </si>
  <si>
    <t>DAVID VARELA CÓRDOBA</t>
  </si>
  <si>
    <t>CDP_585 26/05/2025</t>
  </si>
  <si>
    <t>COM_716 01/07/2025</t>
  </si>
  <si>
    <t>CNPS-172-2025</t>
  </si>
  <si>
    <t>PRESTACIÓN DE SERVICIOS PROFESIONALES Y/O DE APOYO A LA GESTIÓN COMO COORDINADORA DE LOS EQUIPOS BÁSICOS DE SALUD (EBS), FORTALECIENDO LA ATENCIÓN PRIMARIA EN SALUD (APS) MEDIANTE UN MODELO PREVENTIVO, PREDICTIVO Y RESOLUTIVO QUE GARANTICE EL DERECHO FUNDAMENTAL A LA SALUD E IMPACTE EN LOS RESULTADOS EN SALUD DE LAS PERSONAS, FAMILIAS Y COMUNIDADES EN EL MUNICIPIO DE ROLDANILLO, CON UN ENFOQUE EN LA ATENCIÓN Y EXPERIENCIA DEL USUARIO, PROPORCIONANDO UN ESTÁNDAR QUE REGULE Y FACILITE LA RELACIÓN ENTRE EL HOSPITAL Y LA ATENCIÓN DE LOS USUARIOS AFILIADOS A LAS DIFERENTES EPS</t>
  </si>
  <si>
    <t>GLORIA MARIA TRUJILLO VILLADA</t>
  </si>
  <si>
    <t>CDP_675 27/06/2025</t>
  </si>
  <si>
    <t>COM_714 01/07/2025</t>
  </si>
  <si>
    <t>CNPS-173-2025</t>
  </si>
  <si>
    <t>CDP_672 27/06/2025</t>
  </si>
  <si>
    <t>COM_715 01/07/2025</t>
  </si>
  <si>
    <t>CDP_1014</t>
  </si>
  <si>
    <t>COM_888</t>
  </si>
  <si>
    <t>CNPS-174-2025</t>
  </si>
  <si>
    <t>PRESTACIÓN DE SERVICIOS DE APOYO A LA GESTIÓN COMO GESTOR COMUNITARIO EN LA OPERACIÓN DE UNO DE LOS EQUIPOS BÁSICOS DE SALUD (RURAL) EN EL FORTALECIMIENTO DE LA GESTIÓN TERRITORIAL BASADA EN ATENCIÓN PRIMARIA EN SALUD APS EN EL MARCO DE LA IMPLEMENTACIÓN DEL MODELO DE SALUD PREVENTIVO Y PREDICTIVO PARA AVANZAR EN LA GARANTÍA DEL DERECHO FUNDAMENTAL A LA SALUD EN EL MUNICIPIO DE ROLDANILLO VALLE DEL CAUCA</t>
  </si>
  <si>
    <t>ANYI LICETH RUIZ BARÓN</t>
  </si>
  <si>
    <t>CDP_597 26/05/2025</t>
  </si>
  <si>
    <t>COM_717 04/07/2025</t>
  </si>
  <si>
    <t>CNPS-175-2025</t>
  </si>
  <si>
    <t>CLARA ROSA MORALES GALVIS</t>
  </si>
  <si>
    <t>CDP_503 26/05/2025</t>
  </si>
  <si>
    <t>COM_738 22/07/2025</t>
  </si>
  <si>
    <t>CNPS-176-2025</t>
  </si>
  <si>
    <t>PRESTACIÓN DE SERVICIOS LOGÍSTICOS Y SUMINISTRO DE DOTACIONES, INSUMOS, MATERIALES, DISPOSITOVOS MÉDICOS, TECNOLOGÍAS Y DEMÁS ELEMENTOS NECESARIOS PARA LA OPERACIÓN DE LOS EQUIPOS BÁSICOS DE SALUD EN EL MARCO DE LA IMPLEMENTACIÓN DEL MODELO DE SALUD PREVENTIVO Y PREDICTIVO (RESOLUCIÓN 1033 DE 2024)</t>
  </si>
  <si>
    <t>CDP_726 31/07/2025</t>
  </si>
  <si>
    <t>COM_769 01/08/2025</t>
  </si>
  <si>
    <t>CNPS-177-2025</t>
  </si>
  <si>
    <t>PRESTACIÓN DE SERVICIOS COMO PROFESIONAL EN PEDAGOGÍA EN LA IMPLEMENTACIÓN DEL SERVICIO INTEGRADO DE ATENCIÓN Y PREVENCIÓN DE LA DESNUTRICIÓN DEL ICBF, EN CONCORDANCIA CON LOS SERVICIOS PROPIOS DEL SISTEMA DE SALUD COLOMBIANO PARA EL MANEJO DE LA DESNUTRICIÓN AGUDA MODERADA Y SEVERA, EN EL MARCO DEL CONVENIO INTERADMINISTRATIVO 760092422025 SUSCRITO ENTRE EL HOSPITAL DEPARTAMENTAL SAN ANTONIO E.S.E. DE ROLDANILLO VALLE E.S.E. Y EL INSTITUTO COLOMBIANO DE BIENESTAR FAMILIAR ICBF</t>
  </si>
  <si>
    <t>CAROLINA ANDREA GÓMEZ ORTIZ</t>
  </si>
  <si>
    <t>CDP_727 31/07/2025</t>
  </si>
  <si>
    <t>COM_770 04/08/2025</t>
  </si>
  <si>
    <t>CNPS-178-2025</t>
  </si>
  <si>
    <t>PRESTACIÓN DE SERVICIOS COMO APOYO A LA GESTIÓN COMO DINAMIZADOR DE ACCIONES COMPLEMENTARIAS EN EL MARCO DEL DHAA EN LA IMPLEMENTACIÓN DEL SERVICIO INTEGRADO DE ATENCIÓN Y PREVENCIÓN DE LA DESNUTRICIÓN DEL ICBF, EN CONCORDANCIA CON LOS SERVICIOS PROPIOS DEL SISTEMA DE SALUD COLOMBIANO PARA EL MANEJO DE LA DESNUTRICIÓN AGUDA MODERADA Y SEVERA, EN EL MARCO DEL CONVENIO INTERADMINISTRATIVO 760092422025 SUSCRITO ENTRE EL HOSPITAL DEPARTAMENTAL SAN ANTONIO E.S.E. DE ROLDANILLO VALLE E.S.E. Y EL INSTITUTO COLOMBIANO DE BIENESTAR FAMILIAR ICBF</t>
  </si>
  <si>
    <t>CDP_728 31/07/2025</t>
  </si>
  <si>
    <t>COM_771 04/08/2025</t>
  </si>
  <si>
    <t>CNPS-179-2025</t>
  </si>
  <si>
    <t>PRESTACIÓN DE SERVICIOS COMO APOYO A LA GESTIÓN COMO APOYO ADMINISTRATIVO EN LA IMPLEMENTACIÓN DEL SERVICIO INTEGRADO DE ATENCIÓN Y PREVENCIÓN DE LA DESNUTRICIÓN DEL ICBF, EN CONCORDANCIA CON LOS SERVICIOS PROPIOS DEL SISTEMA DE SALUD COLOMBIANO PARA EL MANEJO DE LA DESNUTRICIÓN AGUDA MODERADA Y SEVERA, EN EL MARCO DEL CONVENIO INTERADMINISTRATIVO 760092422025 SUSCRITO ENTRE EL HOSPITAL DEPARTAMENTAL SAN ANTONIO E.S.E. DE ROLDANILLO VALLE E.S.E. Y EL INSTITUTO COLOMBIANO DE BIENESTAR FAMILIAR ICBF</t>
  </si>
  <si>
    <t>JOHANGELY FERREIRA GIRALDO</t>
  </si>
  <si>
    <t>CDP_729 31/07/2025</t>
  </si>
  <si>
    <t>COM_772 04/08/2025</t>
  </si>
  <si>
    <t>CNPS-180-2025</t>
  </si>
  <si>
    <t>PRESTACIÓN DE SERVICIOS COMO PROFESIONAL EN NUTRICIÓN EN LA IMPLEMENTACIÓN DEL SERVICIO INTEGRADO DE ATENCIÓN Y PREVENCIÓN DE LA DESNUTRICIÓN DEL ICBF, EN CONCORDANCIA CON LOS SERVICIOS PROPIOS DEL SISTEMA DE SALUD COLOMBIANO PARA EL MANEJO DE LA DESNUTRICIÓN AGUDA MODERADA Y SEVERA, EN EL MARCO DEL CONVENIO INTERADMINISTRATIVO 760092422025 SUSCRITO ENTRE EL HOSPITAL DEPARTAMENTAL SAN ANTONIO E.S.E. DE ROLDANILLO VALLE E.S.E. Y EL INSTITUTO COLOMBIANO DE BIENESTAR FAMILIAR ICBF</t>
  </si>
  <si>
    <t>EDGAR ANDRES VARELA PÉREZ</t>
  </si>
  <si>
    <t>CDP_730 31/07/2025</t>
  </si>
  <si>
    <t>COM_773 04/08/2025</t>
  </si>
  <si>
    <t>CNPS-181-2025</t>
  </si>
  <si>
    <t>PRESTACIÓN DE SERVICIOS COMO PROFESIONAL EN EL ÁREA SOCIAL EN LA IMPLEMENTACIÓN DEL SERVICIO INTEGRADO DE ATENCIÓN Y PREVENCIÓN DE LA DESNUTRICIÓN DEL ICBF, EN CONCORDANCIA CON LOS SERVICIOS PROPIOS DEL SISTEMA DE SALUD COLOMBIANO PARA EL MANEJO DE LA DESNUTRICIÓN AGUDA MODERADA Y SEVERA, EN EL MARCO DEL CONVENIO INTERADMINISTRATIVO 760092422025 SUSCRITO ENTRE EL HOSPITAL DEPARTAMENTAL SAN ANTONIO E.S.E. DE ROLDANILLO VALLE E.S.E. Y EL INSTITUTO COLOMBIANO DE BIENESTAR FAMILIAR ICBF</t>
  </si>
  <si>
    <t>LAURA DANIELA VILLAFAÑE ERAZO</t>
  </si>
  <si>
    <t>CDP_733 31/07/2025</t>
  </si>
  <si>
    <t>COM_774 04/08/2025</t>
  </si>
  <si>
    <t>CNPS-182-2025</t>
  </si>
  <si>
    <t>MARIBEL PEROZA SKINNER</t>
  </si>
  <si>
    <t>CDP_734 31/07/2025</t>
  </si>
  <si>
    <t>COM_775 04/08/2025</t>
  </si>
  <si>
    <t>CNPS-183-2025</t>
  </si>
  <si>
    <t>PRESTACIÓN DE SERVICIOS DE APOYO A LA GESTIÓN COMO AUXILIAR DE ENFERMERÍA EN LA IMPLEMENTACIÓN DEL SERVICIO INTEGRADO DE ATENCIÓN Y PREVENCIÓN DE LA DESNUTRICIÓN DEL ICBF, EN CONCORDANCIA CON LOS SERVICIOS PROPIOS DEL SISTEMA DE SALUD COLOMBIANO PARA EL MANEJO DE LA DESNUTRICIÓN AGUDA MODERADA Y SEVERA, EN EL MARCO DEL CONVENIO INTERADMINISTRATIVO 760092422025 SUSCRITO ENTRE EL HOSPITAL DEPARTAMENTAL SAN ANTONIO E.S.E. DE ROLDANILLO VALLE E.S.E. Y EL INSTITUTO COLOMBIANO DE BIENESTAR FAMILIAR ICBF</t>
  </si>
  <si>
    <t>LINA MARCELA RUIZ BARCO</t>
  </si>
  <si>
    <t>CDP_736 31/07/2025</t>
  </si>
  <si>
    <t>COM_776 04/08/2025</t>
  </si>
  <si>
    <t>CNPS-184-2025</t>
  </si>
  <si>
    <t>CDP_737 31/07/2025</t>
  </si>
  <si>
    <t>COM_777 04/08/2025</t>
  </si>
  <si>
    <t>CNPS-185-2025</t>
  </si>
  <si>
    <t>JHENIFER KARINA QUINTERO GRANADA</t>
  </si>
  <si>
    <t>CDP_738 31/07/2025</t>
  </si>
  <si>
    <t>COM_778 04/08/2025</t>
  </si>
  <si>
    <t>CNPS-186-2025</t>
  </si>
  <si>
    <t>ANYELA GEOVANA PÉREZ BUSTAMANTE</t>
  </si>
  <si>
    <t>CDP_739 31/07/2025</t>
  </si>
  <si>
    <t>COM_779 04/08/2025</t>
  </si>
  <si>
    <t>CNPS-187-2025</t>
  </si>
  <si>
    <t>PRESTACIÓN DE SERVICIOS COMO APOYO A LA GESTIÓN COMO GESTOR COMUNITARIO EN LA IMPLEMENTACIÓN DEL SERVICIO INTEGRADO DE ATENCIÓN Y PREVENCIÓN DE LA DESNUTRICIÓN DEL ICBF, EN CONCORDANCIA CON LOS SERVICIOS PROPIOS DEL SISTEMA DE SALUD COLOMBIANO PARA EL MANEJO DE LA DESNUTRICIÓN AGUDA MODERADA Y SEVERA, EN EL MARCO DEL CONVENIO INTERADMINISTRATIVO 760092422025 SUSCRITO ENTRE EL HOSPITAL DEPARTAMENTAL SAN ANTONIO E.S.E. DE ROLDANILLO VALLE E.S.E. Y EL INSTITUTO COLOMBIANO DE BIENESTAR FAMILIAR ICBF</t>
  </si>
  <si>
    <t>DUBAN CHIQUITO ORTÍZ</t>
  </si>
  <si>
    <t>CDP_740 31/07/2025</t>
  </si>
  <si>
    <t>COM_780 04/08/2025</t>
  </si>
  <si>
    <t>CNPS-188-2025</t>
  </si>
  <si>
    <t>ANGÉLICA MARÍA SÁNCHEZ ASTUDILLO</t>
  </si>
  <si>
    <t>CDP_741 31/07/2025</t>
  </si>
  <si>
    <t>COM_781 04/08/2025</t>
  </si>
  <si>
    <t>CNPS-189-2025</t>
  </si>
  <si>
    <t>CARLOS ALFREDO ESPARZA ALVEAR</t>
  </si>
  <si>
    <t>CDP_731 31/07/2025</t>
  </si>
  <si>
    <t>COM_782 04/08/2025</t>
  </si>
  <si>
    <t>CNPS-190-2025</t>
  </si>
  <si>
    <t>PAOLA LORENA PATIÑO HERNÁNDEZ</t>
  </si>
  <si>
    <t>CDP_735 31/07/2025</t>
  </si>
  <si>
    <t>COM_813 06/08/2025</t>
  </si>
  <si>
    <t>CNPS-191-2025</t>
  </si>
  <si>
    <t>GABRIELA RODRIGUEZ QUINTERO</t>
  </si>
  <si>
    <t>CDP_732 31/07/2025</t>
  </si>
  <si>
    <t>COM_812 06/08/2025</t>
  </si>
  <si>
    <t>CNPS-192-2025</t>
  </si>
  <si>
    <t>PRESTACION DE SERVICIOS PROFESIONALES EN REVISORIA FISCAL EN EL HOSPITAL DEPARTAMENTAL SAN ANTONIO ESE DE ROLDANILLO VALLE DEL CAUCA</t>
  </si>
  <si>
    <t>CDP_833 22/08/2025</t>
  </si>
  <si>
    <t>COM_865 28/08/2025</t>
  </si>
  <si>
    <t>ELIANA BERMUDEZ TORO</t>
  </si>
  <si>
    <t>CDP_841 22/08/2025</t>
  </si>
  <si>
    <t>CDP_825 22/08/2025</t>
  </si>
  <si>
    <t>CDP_811 22/08/2025</t>
  </si>
  <si>
    <t>CDP_838 22/08/2025</t>
  </si>
  <si>
    <t>CDP_868 22/08/2025</t>
  </si>
  <si>
    <t>CDP_834 22/08/2025</t>
  </si>
  <si>
    <t>CNPS-199-2025</t>
  </si>
  <si>
    <t>MANUELA MARTINEZ MUÑOZ</t>
  </si>
  <si>
    <t>CDP_832 22/08/2025</t>
  </si>
  <si>
    <t>CDP_824 22/08/2025</t>
  </si>
  <si>
    <t>CDP_818 22/08/2025</t>
  </si>
  <si>
    <t>CDP_821 22/08/2025</t>
  </si>
  <si>
    <t>CDP_820 22/08/2025</t>
  </si>
  <si>
    <t>CDP_819 22/08/2025</t>
  </si>
  <si>
    <t>CDP_831 22/08/2025</t>
  </si>
  <si>
    <t>CDP_846 22/08/2025</t>
  </si>
  <si>
    <t>CDP_839 22/08/2025</t>
  </si>
  <si>
    <t>CDP_842 22/08/2025</t>
  </si>
  <si>
    <t>CDP_854 22/08/2025</t>
  </si>
  <si>
    <t>CDP_847 22/08/2025</t>
  </si>
  <si>
    <t>CDP_849 22/08/2025</t>
  </si>
  <si>
    <t>CDP_828 22/08/2025</t>
  </si>
  <si>
    <t>CDP_836 22/08/2025</t>
  </si>
  <si>
    <t>CDP_826 22/08/2025</t>
  </si>
  <si>
    <t>CDP_853 22/08/2025</t>
  </si>
  <si>
    <t>CDP_837 22/08/2025</t>
  </si>
  <si>
    <t>CDP_816 22/08/2025</t>
  </si>
  <si>
    <t>CDP_835 22/08/2025</t>
  </si>
  <si>
    <t>CDP_859 22/08/2025</t>
  </si>
  <si>
    <t>CDP_830 22/08/2025</t>
  </si>
  <si>
    <t>CDP_817 22/08/2025</t>
  </si>
  <si>
    <t>CDP_843 22/08/2025</t>
  </si>
  <si>
    <t>CDP_863 22/08/2025</t>
  </si>
  <si>
    <t>CDP_865 22/08/2025</t>
  </si>
  <si>
    <t>CDP_864 22/08/2025</t>
  </si>
  <si>
    <t>CDP_862 22/08/2025</t>
  </si>
  <si>
    <t>CDP_827 22/08/2025</t>
  </si>
  <si>
    <t>CDP_840 22/08/2025</t>
  </si>
  <si>
    <t>CDP_852 22/08/2025</t>
  </si>
  <si>
    <t>CDP_850 22/08/2025</t>
  </si>
  <si>
    <t>CDP_866 22/08/2025</t>
  </si>
  <si>
    <t>CDP_867 22/08/2025</t>
  </si>
  <si>
    <t>CDP_870 22/08/2025</t>
  </si>
  <si>
    <t>CDP_869 22/08/2025</t>
  </si>
  <si>
    <t>CDP_829 22/08/2025</t>
  </si>
  <si>
    <t>CDP_872 22/08/2025</t>
  </si>
  <si>
    <t>CDP_857 22/08/2025</t>
  </si>
  <si>
    <t>CDP_873 22/08/2025</t>
  </si>
  <si>
    <t>CDP_860 22/08/2025</t>
  </si>
  <si>
    <t>CDP_858 22/08/2025</t>
  </si>
  <si>
    <t>CDP_848 22/08/2025</t>
  </si>
  <si>
    <t>CDP_879 22/08/2025</t>
  </si>
  <si>
    <t>CDP_881 22/08/2025</t>
  </si>
  <si>
    <t>CDP_882 22/08/2025</t>
  </si>
  <si>
    <t>CDP_885 22/08/2025</t>
  </si>
  <si>
    <t>CDP_884 22/08/2025</t>
  </si>
  <si>
    <t>CDP_874 22/08/2025</t>
  </si>
  <si>
    <t>CDP_883 22/08/2025</t>
  </si>
  <si>
    <t>CDP_887 22/08/2025</t>
  </si>
  <si>
    <t>CDP_886 22/08/2025</t>
  </si>
  <si>
    <t>VICTOR MAURICIO RENGIFO HURTADO</t>
  </si>
  <si>
    <t>CDP_888 22/08/2025</t>
  </si>
  <si>
    <t>CDP_822 22/08/2025</t>
  </si>
  <si>
    <t>CDP_893 22/08/2025</t>
  </si>
  <si>
    <t>CDP_892 22/08/2025</t>
  </si>
  <si>
    <t>CDP_894 22/08/2025</t>
  </si>
  <si>
    <t>CDP_844 22/08/2025</t>
  </si>
  <si>
    <t>CDP_896 22/08/2025</t>
  </si>
  <si>
    <t>CDP_855 22/08/2025</t>
  </si>
  <si>
    <t>CNPS-259-2025</t>
  </si>
  <si>
    <t>YEIMI ANDREA GARCIA RUIZ</t>
  </si>
  <si>
    <t>CDP_890 22/08/2025</t>
  </si>
  <si>
    <t>CDP_815 22/08/2025</t>
  </si>
  <si>
    <t>CDP_895 22/08/2025</t>
  </si>
  <si>
    <t>CDP_845 22/08/2025</t>
  </si>
  <si>
    <t>CDP_856 22/08/2025</t>
  </si>
  <si>
    <t>CDP_891 22/08/2025</t>
  </si>
  <si>
    <t>CDP_880 22/08/2025</t>
  </si>
  <si>
    <t>CDP_962 22/08/2025</t>
  </si>
  <si>
    <t>CDP_963 22/08/2025</t>
  </si>
  <si>
    <t>CDP_966 22/08/2025</t>
  </si>
  <si>
    <t>CDP_968 22/08/2025</t>
  </si>
  <si>
    <t>CDP_969 22/08/2025</t>
  </si>
  <si>
    <t>CDP_1027 22/08/2025</t>
  </si>
  <si>
    <t>CDP_898 22/08/2025</t>
  </si>
  <si>
    <t>CDP_970 22/08/2025</t>
  </si>
  <si>
    <t>CDP_889 22/08/2025</t>
  </si>
  <si>
    <t>CDP_967 22/08/2025</t>
  </si>
  <si>
    <t>MARÍA CAMILA AGUDELO ZAPATA</t>
  </si>
  <si>
    <t>CDP_899 22/08/2025</t>
  </si>
  <si>
    <t>CDP_901 22/08/2025</t>
  </si>
  <si>
    <t>CDP_911 22/08/2025</t>
  </si>
  <si>
    <t>CDP_912 22/08/2025</t>
  </si>
  <si>
    <t>CDP_909 22/08/2025</t>
  </si>
  <si>
    <t>CDP_908 22/08/2025</t>
  </si>
  <si>
    <t>DUBISA ÁLVAREZ CULMA</t>
  </si>
  <si>
    <t>CDP_913 22/08/2025</t>
  </si>
  <si>
    <t>CDP_914 22/08/2025</t>
  </si>
  <si>
    <t>CDP_871 22/08/2025</t>
  </si>
  <si>
    <t>CDP_920 22/08/2025</t>
  </si>
  <si>
    <t>CDP_923 22/08/2025</t>
  </si>
  <si>
    <t>CDP_918 22/08/2025</t>
  </si>
  <si>
    <t>CDP_925 22/08/2025</t>
  </si>
  <si>
    <t>CDP_922 22/08/2025</t>
  </si>
  <si>
    <t>CDP_931 22/08/2025</t>
  </si>
  <si>
    <t>CDP_1028 22/08/2025</t>
  </si>
  <si>
    <t>CDP_907 22/08/2025</t>
  </si>
  <si>
    <t>CDP_905 22/08/2025</t>
  </si>
  <si>
    <t>CDP_929 22/08/2025</t>
  </si>
  <si>
    <t>CDP_928 22/08/2025</t>
  </si>
  <si>
    <t>CDP_927 22/08/2025</t>
  </si>
  <si>
    <t>CDP_916 22/08/2025</t>
  </si>
  <si>
    <t>CDP_924 22/08/2025</t>
  </si>
  <si>
    <t>CDP_932 22/08/2025</t>
  </si>
  <si>
    <t>CDP_964 22/08/2025</t>
  </si>
  <si>
    <t>CDP_933 22/08/2025</t>
  </si>
  <si>
    <t>CDP_930 22/08/2025</t>
  </si>
  <si>
    <t>CDP_934 22/08/2025</t>
  </si>
  <si>
    <t>CDP_897 22/08/2025</t>
  </si>
  <si>
    <t>CDP_919 22/08/2025</t>
  </si>
  <si>
    <t>CDP_917 22/08/2025</t>
  </si>
  <si>
    <t>CDP_921 22/08/2025</t>
  </si>
  <si>
    <t>CDP_902 22/08/2025</t>
  </si>
  <si>
    <t>LORENA NIETO BETANCOURT</t>
  </si>
  <si>
    <t>CDP_938 22/08/2025</t>
  </si>
  <si>
    <t>CDP_937 22/08/2025</t>
  </si>
  <si>
    <t>CDP_941 22/08/2025</t>
  </si>
  <si>
    <t>CDP_936 22/08/2025</t>
  </si>
  <si>
    <t>CDP_943 22/08/2025</t>
  </si>
  <si>
    <t>CDP_945 22/08/2025</t>
  </si>
  <si>
    <t>CDP_951 22/08/2025</t>
  </si>
  <si>
    <t>CDP_952 22/08/2025</t>
  </si>
  <si>
    <t>CDP_935 22/08/2025</t>
  </si>
  <si>
    <t>CDP_960 22/08/2025</t>
  </si>
  <si>
    <t>CDP_947 22/08/2025</t>
  </si>
  <si>
    <t>CDP_959 22/08/2025</t>
  </si>
  <si>
    <t>CDP_940 22/08/2025</t>
  </si>
  <si>
    <t>CDP_954 22/08/2025</t>
  </si>
  <si>
    <t>CDP_946 22/08/2025</t>
  </si>
  <si>
    <t>CDP_949 22/08/2025</t>
  </si>
  <si>
    <t>CDP_956 22/08/2025</t>
  </si>
  <si>
    <t>CDP_939 22/08/2025</t>
  </si>
  <si>
    <t>CDP_948 22/08/2025</t>
  </si>
  <si>
    <t>CDP_942 22/08/2025</t>
  </si>
  <si>
    <t>CDP_900 22/08/2025</t>
  </si>
  <si>
    <t>CDP_965 22/08/2025</t>
  </si>
  <si>
    <t>CDP_957 22/08/2025</t>
  </si>
  <si>
    <t>CDP_950 22/08/2025</t>
  </si>
  <si>
    <t>CDP_953 22/08/2025</t>
  </si>
  <si>
    <t>CDP_910 22/08/2025</t>
  </si>
  <si>
    <t>CDP_958 22/08/2025</t>
  </si>
  <si>
    <t>CDP_955 22/08/2025</t>
  </si>
  <si>
    <t>CDP_904 22/08/2025</t>
  </si>
  <si>
    <t>CDP_915 22/08/2025</t>
  </si>
  <si>
    <t>CDP_1029 22/08/2025</t>
  </si>
  <si>
    <t>CDP_903 22/08/2025</t>
  </si>
  <si>
    <t>CDP_906 22/08/2025</t>
  </si>
  <si>
    <t>CDP_944 22/08/2025</t>
  </si>
  <si>
    <t>CNPS-343-2025</t>
  </si>
  <si>
    <t>PRESTACIÓN DE SERVICIOS COMO PROFESIONAL ESPECIALISTA EN MEDICINA FAMILIAR  EN LA OPERACIÓN DEL EQUIPO BÁSICO DE SALUD TIPO ESPECIALISTA  EN EL FORTALECIMIENTO DE LA GESTIÓN TERRITORIAL BASADA EN ATENCIÓN PRIMARIA EN SALUD - APS EN EL MARCO DE LA IMPLEMENTACIÓN DEL MODELO DE SALUD PREVENTIVO Y PREDICTIVO PARA AVANZAR EN LA GARANTIA DEL DERECHO FUNDAMENTAL A LA SALUD EN LOS MUNICIPIOS DE  BOLIVAR, CAICEDONIA, EL DOVIO Y ROLDANILLO, VALLE DEL CAUCA, (RESOLUCION 1008 DE 2025)</t>
  </si>
  <si>
    <t>ANDRÉS FELIPE GARCÍA CHOIS</t>
  </si>
  <si>
    <t>CDP_1000 01/09/2025</t>
  </si>
  <si>
    <t>CNPS-344-2025</t>
  </si>
  <si>
    <t>PRESTACIÓN DE SERVICIOS COMO PROFESIONAL MEDICO ESPECIALISTA EN MEDICINA INTERNA EN LA OPERACIÓN DEL EQUIPO BÁSICO DE SALUD TIPO ESPECIALISTA  EN EL FORTALECIMIENTO DE LA GESTIÓN TERRITORIAL BASADA EN ATENCIÓN PRIMARIA EN SALUD - APS EN EL MARCO DE LA IMPLEMENTACIÓN DEL MODELO DE SALUD PREVENTIVO Y PREDICTIVO PARA AVANZAR EN LA GARANTIA DEL DERECHO FUNDAMENTAL A LA SALUD EN LOS MUNICIPIOS DE  ANSERMANUEVO, ARGELIA, EL CAIRO Y EL ÁGUILA, VALLE DEL CAUCA, (RESOLUCION 1008 DE 2025)</t>
  </si>
  <si>
    <t>JULIÁN ANDRÉS PACHICHANA ABADÍA</t>
  </si>
  <si>
    <t>CDP_1006 01/09/2025</t>
  </si>
  <si>
    <t>CNPS-345-2025</t>
  </si>
  <si>
    <t>PRESTACIÓN DE SERVICIOS COMO PROFESIONAL ESPECIALISTA EN GINECOLOGÍA  EN LA OPERACIÓN DEL EQUIPO BÁSICO DE SALUD TIPO ESPECIALISTA  EN EL FORTALECIMIENTO DE LA GESTIÓN TERRITORIAL BASADA EN ATENCIÓN PRIMARIA EN SALUD - APS EN EL MARCO DE LA IMPLEMENTACIÓN DEL MODELO DE SALUD PREVENTIVO Y PREDICTIVO PARA AVANZAR EN LA GARANTIA DEL DERECHO FUNDAMENTAL A LA SALUD EN LOS MUNICIPIOS DE  BOLIVAR, CAICEDONIA, EL DOVIO Y ROLDANILLO, VALLE DEL CAUCA, (RESOLUCION 1008 DE 2025)</t>
  </si>
  <si>
    <t>MICHAEL ANDRÉS CUEVAS QUESADA</t>
  </si>
  <si>
    <t>CDP_999 01/09/2025</t>
  </si>
  <si>
    <t>CNPS-346-2025</t>
  </si>
  <si>
    <t>PRESTACIÓN DE SERVICIOS DE LOGISTICA QUE INCLUYE EL TRANSPORTE, RACIONES FAMILIARES PARA PREPARAR, PREPARACION ADMINITRATIVA Y COMUNITARIA, DOTACION, ELEMENTOS ENTREGABLES EN LA DINAMIZACION, ELEMENTOS DE ASEO, PAPELERIA, COMUNICACIONES, MATERIAL PARA EL FORTALECIMIENTO VIGILANCIA VBC Y GASTOS OPERACIONALES, PARA CUBRIR LA EJECUCIÓN DEL PROGRAMA DE SERVICIO INTEGRADO DE ATENCIÓN Y PREVENCIÓN DE LA DESNUTRICIÓN DEL ICBF, EN CONCORDANCIA CON LOS SERVICIOS PROPIOS DEL SISTEMA DE SALUD COLOMBIANO PARA EL MANEJO DE LA DESNUTRICION AGUDA MODERADA Y SEVERA, EN EL MARCO DEL CONVENIO INTERADMINISTRATIVO 760092422025 SUSCRITO ENTRE EL HOSPITAL DEPARTAMENTAL SAN ANTONIO DE ROLDANILLO E.S.E. Y EL INSTITUTO COLOMBIANO DE BIENESTAR FAMILIAR - ICBF</t>
  </si>
  <si>
    <t xml:space="preserve">CDP_1022 </t>
  </si>
  <si>
    <t>CDP_926 22/08/2025</t>
  </si>
  <si>
    <t>CNPS-348-2025</t>
  </si>
  <si>
    <t>PRESTACIÓN DE SERVICIOS COMO PROFESIONAL ESPECIALISTA EN PEDIATRIA EN LA OPERACIÓN DEL EQUIPO BÁSICO DE SALUD TIPO ESPECIALISTA  EN EL FORTALECIMIENTO DE LA GESTIÓN TERRITORIAL BASADA EN ATENCIÓN PRIMARIA EN SALUD - APS EN EL MARCO DE LA IMPLEMENTACIÓN DEL MODELO DE SALUD PREVENTIVO Y PREDICTIVO PARA AVANZAR EN LA GARANTIA DEL DERECHO FUNDAMENTAL A LA SALUD EN LOS MUNICIPIOS DE  BOLIVAR, CAICEDONIA, EL DOVIO Y ROLDANILLO, VALLE DEL CAUCA, (RESOLUCION 1008 DE 2025)</t>
  </si>
  <si>
    <t>STEPHANIA RINCÓN LOZANO</t>
  </si>
  <si>
    <t>CDP_998 01/09/2025</t>
  </si>
  <si>
    <t>CNPS-349-2025</t>
  </si>
  <si>
    <t>PRESTACIÓN DE SERVICIOS COMO PROFESIONAL ESPECIALISTA EN PEDIATRIA EN LA OPERACIÓN DEL EQUIPO BÁSICO DE SALUD TIPO ESPECIALISTA  EN EL FORTALECIMIENTO DE LA GESTIÓN TERRITORIAL BASADA EN ATENCIÓN PRIMARIA EN SALUD - APS EN EL MARCO DE LA IMPLEMENTACIÓN DEL MODELO DE SALUD PREVENTIVO Y PREDICTIVO PARA AVANZAR EN LA GARANTIA DEL DERECHO FUNDAMENTAL A LA SALUD EN LOS MUNICIPIOS DE  ANSERMANUEVO, ARGELIA, EL CAIRO Y EL ÁGUILA, VALLE DEL CAUCA, (RESOLUCION 1008 DE 2025)</t>
  </si>
  <si>
    <t>CDP_1004 01/09/2025</t>
  </si>
  <si>
    <t>CNPS-350-2025</t>
  </si>
  <si>
    <t>PRESTACIÓN DE SERVICIOS LOGISTICOS (DOTACIONES, INSUMOS, MATERIALES, DISPOSITIVOS MEDICOS, TECNOLOGIAS Y DEMAS ELEMENTOS NECESARIOS)  EN LA OPERACIÓN DE LOS EQUIPOS BÁSICOS DE SALUD TIPO ESPECIALISTA  EN EL FORTALECIMIENTO DE LA GESTIÓN TERRITORIAL BASADA EN ATENCIÓN PRIMARIA EN SALUD - APS EN EL MARCO DE LA IMPLEMENTACIÓN DEL MODELO DE SALUD PREVENTIVO Y PREDICTIVO PARA AVANZAR EN LA GARANTIA DEL DERECHO FUNDAMENTAL A LA SALUD EN LOS MUNICIPIOS DE  BOLIVAR, CAICEDONIA, EL DOVIO, ROLDANILLO,  ANSERMANUEVO, ARGELIA, EL CAIRO Y EL ÁGUILA, VALLE DEL CAUCA, (RESOLUCION 1008 DE 2025)</t>
  </si>
  <si>
    <t>CDP_1010 11/09/2025</t>
  </si>
  <si>
    <t>CDP_878 22/08/2025</t>
  </si>
  <si>
    <t>CDP_851 22/08/2025</t>
  </si>
  <si>
    <t>CNPS-353-2025</t>
  </si>
  <si>
    <t>PRESTACIÓN DE SERVICIOS PROFESIONALES, PARA LA IMPLEMENTACIÓN, PUESTA EN MARCHA Y SEGUIMIENTO DE UN PLAN DE MEJORAMIENTO DE LA GESTIÓN DOCUMENTAL DEL HOSPITAL DEPARTAMENTAL SAN ANTONIO ROLDANILLO ESE, CONFORME LAS NORMAS DE ARCHIVO VIGENTES</t>
  </si>
  <si>
    <t>OLGA MARIA OROZCO VARELA</t>
  </si>
  <si>
    <t>CDP_1035 19/09/2025</t>
  </si>
  <si>
    <t>COM_1110 19/09/2025</t>
  </si>
  <si>
    <t>CNPS-354-2025</t>
  </si>
  <si>
    <t>LEIDE ALEJANDRA TRIVIÑO MEDINA</t>
  </si>
  <si>
    <t>CDP_1048 22/09/2025</t>
  </si>
  <si>
    <t>COM_1111 30/09/2025</t>
  </si>
  <si>
    <t>CNPS-355-2025</t>
  </si>
  <si>
    <t>PRESTACIÓN DE SERVICIOS COMOAUXILIAR DE ENFERMERÍA EN LA OPERACIÓN DEL EQUIPO BÁSICO DE SALUD TIPO ESPECIALISTA  EN EL FORTALECIMIENTO DE LA GESTIÓN TERRITORIAL BASADA EN ATENCIÓN PRIMARIA EN SALUD - APS EN EL MARCO DE LA IMPLEMENTACIÓN DEL MODELO DE SALUD PREVENTIVO Y PREDICTIVO PARA AVANZAR EN LA GARANTIA DEL DERECHO FUNDAMENTAL A LA SALUD EN LOS MUNICIPIOS DE  ANSERMANUEVO, ARGELIA, EL CAIRO Y EL ÁGUILA, VALLE DEL CAUCA, (RESOLUCION 1008 DE 2025)</t>
  </si>
  <si>
    <t>CDP_1007 01/09/2025</t>
  </si>
  <si>
    <t>COM_1114 30/09/2025</t>
  </si>
  <si>
    <t>CNPS-356-2025</t>
  </si>
  <si>
    <t>YAKELINE MAYOR FORERO</t>
  </si>
  <si>
    <t>CDP_1008 01/09/2025</t>
  </si>
  <si>
    <t>CNPS-357-2025</t>
  </si>
  <si>
    <t>PRESTACIÓN DE SERVICIOS PROFESIONALES Y DE APOYO A LA GESTIÓN EN LECTURA Y TRANSCRIPCION DE ESTUDIOS RADIOLOGICOS E IMPLEMENTACION DEL PROGRAMA DE ALMACENAMIENTO Y ARCHIVO DE IMÁGENES DIGITALES EN EQUIPO DE COMPUTO CONOCIDO COMO PACS</t>
  </si>
  <si>
    <t>MEDICINA ELECTRODIAGNOSTICA SAS</t>
  </si>
  <si>
    <t>CDP_1064 01/09/2025</t>
  </si>
  <si>
    <t>CNPS-358-2025</t>
  </si>
  <si>
    <t>CDP_1072 30/09/2025</t>
  </si>
  <si>
    <t>CNPS-359-2025</t>
  </si>
  <si>
    <t>CDP_1077 30/09/2025</t>
  </si>
  <si>
    <t>CNPS-360-2025</t>
  </si>
  <si>
    <t>CDP_1070 30/09/2025</t>
  </si>
  <si>
    <t>CNPS-361-2025</t>
  </si>
  <si>
    <t>CDP_1206 30/09/2025</t>
  </si>
  <si>
    <t>CNPS-362-2025</t>
  </si>
  <si>
    <t>CDP_1199 30/09/2025</t>
  </si>
  <si>
    <t>CNPS-363-2025</t>
  </si>
  <si>
    <t>CDP_1205 30/09/2025</t>
  </si>
  <si>
    <t>CNPS-364-2025</t>
  </si>
  <si>
    <t>CDP_1204 30/09/2025</t>
  </si>
  <si>
    <t>CNPS-365-2025</t>
  </si>
  <si>
    <t>CDP_1074 30/09/2025</t>
  </si>
  <si>
    <t>CNPS-366-2025</t>
  </si>
  <si>
    <t>CDP_1200 30/09/2025</t>
  </si>
  <si>
    <t>CNPS-367-2025</t>
  </si>
  <si>
    <t>CDP_1066 30/09/2025</t>
  </si>
  <si>
    <t>CNPS-368-2025</t>
  </si>
  <si>
    <t>CDP_1075 30/09/2025</t>
  </si>
  <si>
    <t>CNPS-369-2025</t>
  </si>
  <si>
    <t>CDP_1073 30/09/2025</t>
  </si>
  <si>
    <t>CNPS-370-2025</t>
  </si>
  <si>
    <t>CDP_1207 30/09/2025</t>
  </si>
  <si>
    <t>CNPS-371-2025</t>
  </si>
  <si>
    <t>CDP_1071 30/09/2025</t>
  </si>
  <si>
    <t>CNPS-372-2025</t>
  </si>
  <si>
    <t>CDP_1079 30/09/2025</t>
  </si>
  <si>
    <t>CNPS-373-2025</t>
  </si>
  <si>
    <t>CDP_1078 30/09/2025</t>
  </si>
  <si>
    <t>CNPS-374-2025</t>
  </si>
  <si>
    <t>CDP_1203 30/09/2025</t>
  </si>
  <si>
    <t>CNPS-375-2025</t>
  </si>
  <si>
    <t>CDP_1089 30/09/2025</t>
  </si>
  <si>
    <t>CNPS-376-2025</t>
  </si>
  <si>
    <t>CDP_1090 30/09/2025</t>
  </si>
  <si>
    <t>CNPS-377-2025</t>
  </si>
  <si>
    <t>CDP_1091 30/09/2025</t>
  </si>
  <si>
    <t>CNPS-378-2025</t>
  </si>
  <si>
    <t>CDP_1083 30/09/2025</t>
  </si>
  <si>
    <t>CNPS-379-2025</t>
  </si>
  <si>
    <t>CDP_1101 30/09/2025</t>
  </si>
  <si>
    <t>CNPS-380-2025</t>
  </si>
  <si>
    <t>CDP_1082 30/09/2025</t>
  </si>
  <si>
    <t>CNPS-381-2025</t>
  </si>
  <si>
    <t>CDP_1081 30/09/2025</t>
  </si>
  <si>
    <t>CNPS-382-2025</t>
  </si>
  <si>
    <t>CDP_1098 30/09/2025</t>
  </si>
  <si>
    <t>CNPS-383-2025</t>
  </si>
  <si>
    <t>CDP_1096 30/09/2025</t>
  </si>
  <si>
    <t>CNPS-384-2025</t>
  </si>
  <si>
    <t>CDP_1100 30/09/2025</t>
  </si>
  <si>
    <t>CNPS-385-2025</t>
  </si>
  <si>
    <t>CDP_1095 30/09/2025</t>
  </si>
  <si>
    <t>CNPS-386-2025</t>
  </si>
  <si>
    <t>CDP_1103 30/09/2025</t>
  </si>
  <si>
    <t>CNPS-387-2025</t>
  </si>
  <si>
    <t>CDP_1202 30/09/2025</t>
  </si>
  <si>
    <t>CNPS-388-2025</t>
  </si>
  <si>
    <t>CDP_1102 30/09/2025</t>
  </si>
  <si>
    <t>CNPS-389-2025</t>
  </si>
  <si>
    <t>CDP_1084 30/09/2025</t>
  </si>
  <si>
    <t>CNPS-390-2025</t>
  </si>
  <si>
    <t>CDP_1097 30/09/2025</t>
  </si>
  <si>
    <t>CNPS-391-2025</t>
  </si>
  <si>
    <t>CDP_1104 30/09/2025</t>
  </si>
  <si>
    <t>CNPS-392-2025</t>
  </si>
  <si>
    <t>CDP_1093 30/09/2025</t>
  </si>
  <si>
    <t>CNPS-393-2025</t>
  </si>
  <si>
    <t>CDP_1105 30/09/2025</t>
  </si>
  <si>
    <t>CNPS-394-2025</t>
  </si>
  <si>
    <t>CDP_1138 30/09/2025</t>
  </si>
  <si>
    <t>CNPS-395-2025</t>
  </si>
  <si>
    <t>CDP_1085 30/09/2025</t>
  </si>
  <si>
    <t>CNPS-396-2025</t>
  </si>
  <si>
    <t>CDP_1094 30/09/2025</t>
  </si>
  <si>
    <t>CNPS-397-2025</t>
  </si>
  <si>
    <t>CDP_1087 30/09/2025</t>
  </si>
  <si>
    <t>CNPS-398-2025</t>
  </si>
  <si>
    <t>CDP_1107 30/09/2025</t>
  </si>
  <si>
    <t>CNPS-399-2025</t>
  </si>
  <si>
    <t>CDP_1108 30/09/2025</t>
  </si>
  <si>
    <t>CNPS-400-2025</t>
  </si>
  <si>
    <t>CDP_1086 30/09/2026</t>
  </si>
  <si>
    <t>CNPS-401-2025</t>
  </si>
  <si>
    <t>CDP_1088 30/09/2025</t>
  </si>
  <si>
    <t>CNPS-402-2025</t>
  </si>
  <si>
    <t>CDP_1139  30/09/2025</t>
  </si>
  <si>
    <t>CNPS-403-2025</t>
  </si>
  <si>
    <t>PRESTACION DE SERVICIOS DE APOYO A LA GESTION DE PROCESOS ADMINISTRATIVOS DEL HOSPITAL DEPARTAMENTAL SAN ANTONIO ESE DE ROLDANILLO, EN LA ÁREA DE ARCHIVO SEGÚN LAS NECESIDADES ESPECIFICAS DE CADA DEPENDENCIA, ASEGURANDO LA PRESTACION EFICIENTE DE LOS SERVICIOS OFRECIDOS POR PARTE DE LA INSTITUCION A LA COMUNIDAD</t>
  </si>
  <si>
    <t>CDP_1113 30/09/2025</t>
  </si>
  <si>
    <t>CNPS-404-2025</t>
  </si>
  <si>
    <t>CDP_1110 30/09/2025</t>
  </si>
  <si>
    <t>CNPS-405-2025</t>
  </si>
  <si>
    <t>CDP_1114 30/09/2025</t>
  </si>
  <si>
    <t>CNPS-406-2025</t>
  </si>
  <si>
    <t>CDP_1092 30/09/2025</t>
  </si>
  <si>
    <t>CNPS-407-2025</t>
  </si>
  <si>
    <t>CDP_1201 30/09/2025</t>
  </si>
  <si>
    <t>CNPS-408-2025</t>
  </si>
  <si>
    <t>CDP_1076 30/09/2025</t>
  </si>
  <si>
    <t>CNPS-409-2025</t>
  </si>
  <si>
    <t>CDP_1115 30/09/2025</t>
  </si>
  <si>
    <t>CNPS-410-2025</t>
  </si>
  <si>
    <t>CDP_1111 30/09/2025</t>
  </si>
  <si>
    <t>CNPS-411-2025</t>
  </si>
  <si>
    <t>CDP_1112 30/09/2025</t>
  </si>
  <si>
    <t>CNPS-412-2025</t>
  </si>
  <si>
    <t>CDP_1127 30/09/2025</t>
  </si>
  <si>
    <t>CNPS-413-2025</t>
  </si>
  <si>
    <t>CDP_1124 30/09/2025</t>
  </si>
  <si>
    <t>CNPS-414-2025</t>
  </si>
  <si>
    <t>CDP_1116 30/09/2025</t>
  </si>
  <si>
    <t>CNPS-415-2025</t>
  </si>
  <si>
    <t>CDP_1099 30/09/2025</t>
  </si>
  <si>
    <t>CNPS-416-2025</t>
  </si>
  <si>
    <t>CDP_1109 30/09/2025</t>
  </si>
  <si>
    <t>CDP_1310</t>
  </si>
  <si>
    <t>COM_1325</t>
  </si>
  <si>
    <t>CNPS-417-2025</t>
  </si>
  <si>
    <t>CDP_1128 30/09/2025</t>
  </si>
  <si>
    <t>CNPS-418-2025</t>
  </si>
  <si>
    <t>CDP_1106 30/09/2025</t>
  </si>
  <si>
    <t>CNPS-419-2025</t>
  </si>
  <si>
    <t>CDP_1122 30/09/2025</t>
  </si>
  <si>
    <t>CNPS-420-2025</t>
  </si>
  <si>
    <t>CDP_1119 30/09/2025</t>
  </si>
  <si>
    <t>CNPS-421-2025</t>
  </si>
  <si>
    <t>CDP_1117 30/09/2025</t>
  </si>
  <si>
    <t>CNPS-422-2025</t>
  </si>
  <si>
    <t>CDP_1125 30/09/2025</t>
  </si>
  <si>
    <t>CNPS-423-2025</t>
  </si>
  <si>
    <t>CDP_1118 30/09/2025</t>
  </si>
  <si>
    <t>CNPS-424-2025</t>
  </si>
  <si>
    <t>CDP_1129 30/09/2025</t>
  </si>
  <si>
    <t>CNPS-425-2025</t>
  </si>
  <si>
    <t>CDP_1126 30/09/2025</t>
  </si>
  <si>
    <t>CNPS-426-2025</t>
  </si>
  <si>
    <t>CDP_1130 30/09/2025</t>
  </si>
  <si>
    <t>CNPS-427-2025</t>
  </si>
  <si>
    <t>CDP_1121 30/09/2025</t>
  </si>
  <si>
    <t>CNPS-428-2025</t>
  </si>
  <si>
    <t>CDP_1123 30/09/2025</t>
  </si>
  <si>
    <t>CNPS-429-2025</t>
  </si>
  <si>
    <t>CDP_1144 30/09/2025</t>
  </si>
  <si>
    <t>CNPS-430-2025</t>
  </si>
  <si>
    <t>CDP_1146 30/09/2025</t>
  </si>
  <si>
    <t>CNPS-431-2025</t>
  </si>
  <si>
    <t>CDP_1142 30/09/2025</t>
  </si>
  <si>
    <t>CNPS-432-2025</t>
  </si>
  <si>
    <t>CDP_1141 30/09/2025</t>
  </si>
  <si>
    <t>CNPS-433-2025</t>
  </si>
  <si>
    <t>CDP_1135 30/09/2025</t>
  </si>
  <si>
    <t>CNPS-434-2025</t>
  </si>
  <si>
    <t>CDP_1131 20/09/2025</t>
  </si>
  <si>
    <t>CNPS-435-2025</t>
  </si>
  <si>
    <t>CDP_1120 30/09/2025</t>
  </si>
  <si>
    <t>CNPS-436-2025</t>
  </si>
  <si>
    <t>CDP_1137 30/09/2025</t>
  </si>
  <si>
    <t>CNPS-437-2025</t>
  </si>
  <si>
    <t>CDP_1136 30/09/2025</t>
  </si>
  <si>
    <t>CNPS-438-2025</t>
  </si>
  <si>
    <t>CDP_1134 30/09/2025</t>
  </si>
  <si>
    <t>CNPS-439-2025</t>
  </si>
  <si>
    <t>CDP_1132 30/09/2025</t>
  </si>
  <si>
    <t>CNPS-440-2025</t>
  </si>
  <si>
    <t>CDP_1152 30/09/2025</t>
  </si>
  <si>
    <t>CNPS-441-2025</t>
  </si>
  <si>
    <t>CDP_1067 30/09/2025</t>
  </si>
  <si>
    <t>CNPS-442-2025</t>
  </si>
  <si>
    <t>CDP_1198 30/09/2025</t>
  </si>
  <si>
    <t>CNPS-443-2025</t>
  </si>
  <si>
    <t>CDP_1150 30/09/2025</t>
  </si>
  <si>
    <t>CNPS-444-2025</t>
  </si>
  <si>
    <t>CDP_1180 30/09/2025</t>
  </si>
  <si>
    <t>CNPS-445-2025</t>
  </si>
  <si>
    <t>CDP_1143 30/09/2025</t>
  </si>
  <si>
    <t>CNPS-446-2025</t>
  </si>
  <si>
    <t>CDP_1154 30/09/2025</t>
  </si>
  <si>
    <t>CNPS-447-2025</t>
  </si>
  <si>
    <t>CDP_1068 30/09/2025</t>
  </si>
  <si>
    <t>CNPS-448-2025</t>
  </si>
  <si>
    <t>CDP_1069 30/09/2025</t>
  </si>
  <si>
    <t>CNPS-449-2025</t>
  </si>
  <si>
    <t>CDP_1153 30/09/2025</t>
  </si>
  <si>
    <t>CNPS-450-2025</t>
  </si>
  <si>
    <t>CDP_1161 30/09/2025</t>
  </si>
  <si>
    <t>CNPS-451-2025</t>
  </si>
  <si>
    <t>CDP_1164 30/09/2025</t>
  </si>
  <si>
    <t>CNPS-452-2025</t>
  </si>
  <si>
    <t>CDP_1162 30/09/2025</t>
  </si>
  <si>
    <t>CNPS-453-2025</t>
  </si>
  <si>
    <t>CDP_1156 30/09/2025</t>
  </si>
  <si>
    <t>CNPS-454-2025</t>
  </si>
  <si>
    <t>CDP_1155 30/09/2025</t>
  </si>
  <si>
    <t>CNPS-455-2025</t>
  </si>
  <si>
    <t>CDP_1166 30/09/2025</t>
  </si>
  <si>
    <t>CNPS-456-2025</t>
  </si>
  <si>
    <t>CDP_1157 30/09/2025</t>
  </si>
  <si>
    <t>CNPS-457-2025</t>
  </si>
  <si>
    <t>CDP_1158 30/09/2025</t>
  </si>
  <si>
    <t>CNPS-458-2025</t>
  </si>
  <si>
    <t>YULI DAHIANA ISAZA HENAO</t>
  </si>
  <si>
    <t>CDP_1160 30/09/2025</t>
  </si>
  <si>
    <t>CNPS-459-2025</t>
  </si>
  <si>
    <t>CDP_1175 30/09/2025</t>
  </si>
  <si>
    <t>CNPS-460-2025</t>
  </si>
  <si>
    <t>CDP_1172 30/09/2025</t>
  </si>
  <si>
    <t>CNPS-461-2025</t>
  </si>
  <si>
    <t>CDP_1159 30/09/2025</t>
  </si>
  <si>
    <t>CNPS-462-2025</t>
  </si>
  <si>
    <t>CDP_1169 30/09/2025</t>
  </si>
  <si>
    <t>CNPS-463-2025</t>
  </si>
  <si>
    <t>CDP_1163 30/09/2025</t>
  </si>
  <si>
    <t>CNPS-464-2025</t>
  </si>
  <si>
    <t>CDP_1167 30/09/2025</t>
  </si>
  <si>
    <t>CNPS-465-2025</t>
  </si>
  <si>
    <t>CDP_1165 30/09/2025</t>
  </si>
  <si>
    <t>CNPS-466-2025</t>
  </si>
  <si>
    <t>CDP_1174 30/09/2025</t>
  </si>
  <si>
    <t>CNPS-467-2025</t>
  </si>
  <si>
    <t>CDP_1173 30/09/2025</t>
  </si>
  <si>
    <t>CNPS-468-2025</t>
  </si>
  <si>
    <t>CDP_1151 30/09/2025</t>
  </si>
  <si>
    <t>CNPS-469-2025</t>
  </si>
  <si>
    <t>CDP_1170 30/09/2025</t>
  </si>
  <si>
    <t>CNPS-470-2025</t>
  </si>
  <si>
    <t>CDP_1168 30/09/2025</t>
  </si>
  <si>
    <t>CNPS-471-2025</t>
  </si>
  <si>
    <t>CDP_1140 30/09/2025</t>
  </si>
  <si>
    <t>CNPS-472-2025</t>
  </si>
  <si>
    <t>CDP_1145 30/09/2025</t>
  </si>
  <si>
    <t>CNPS-473-2025</t>
  </si>
  <si>
    <t>PRESTACIÓN DE SERVICIOS DE APOYO A LA GESTION COMO TENICO EN LAS AREAS DE RAYOS X E IMAGENOLOGIA, DEL HOSPITAL DEPARTAMENTAL SAN ANTONIO ESE DE ROLDANILLO, PARA OPTIMIZAR LA EFICIENCIA OPERATIVAY ASEGURAR LA PRESTACIÓN EFICIENTE DE LOS SERVICIOS OFRECIDOS POR LA INSTITUCIÓN A LA COMUNIDAD</t>
  </si>
  <si>
    <t>JUAN JOSE SASTRE PANESSO</t>
  </si>
  <si>
    <t>CDP_1148 30/09/2025</t>
  </si>
  <si>
    <t>CNPS-474-2025</t>
  </si>
  <si>
    <t>CDP_1182 30/09/2025</t>
  </si>
  <si>
    <t>CNPS-475-2025</t>
  </si>
  <si>
    <t>CDP_1171 30/09/2025</t>
  </si>
  <si>
    <t>CNPS-476-2025</t>
  </si>
  <si>
    <t>CDP_1188 30/09/2025</t>
  </si>
  <si>
    <t>CNPS-477-2025</t>
  </si>
  <si>
    <t>CDP_1185 30/09/2025</t>
  </si>
  <si>
    <t>CNPS-478-2025</t>
  </si>
  <si>
    <t>CDP_1179 30/09/2025</t>
  </si>
  <si>
    <t>CNPS-479-2025</t>
  </si>
  <si>
    <t>PRESTACIÓN DE SERVICIOS DE APOYO A LA GESTIÓN COMO TÉCNICO EN AUXILIAR DE ENFERMERÍA EN EL ÁREA INTERNACIÓN DEL HOSPITAL DEPARTAMENTAL SAN ANTONIO ESE DE ROLDANILLO, PARA OPTIMIZAR LA EFICIENCIA OPERATIVA Y ASEGURAR LA PRESTACIÓN EFICIENTE DE LOS SERVICIOS OFRECIDOS POR LA INSTITUCIÓN A LA COMUNIDAD</t>
  </si>
  <si>
    <t>CNPS-480-2025</t>
  </si>
  <si>
    <t>PRESTACION DE SERVICIOS COMO PROFESIONAL EN ENFERMERIA, EN LAS AREAS DE PROMOCION Y PREVENCION O DEMAS AREAS ASIGNADAS DEL HOSPITAL DEPARTAMENTAL SAN ANTONIO ESE DE ROLDANILLO, PARA OPTIMIZAR LA EFICIENCIA OPERTAIVA Y ASEGURAR LA PRESTACION EFICIENTE DE LOS SERVICIOS OFRECIDOS POR LA INSTITUCION A LA COMUNIDAD</t>
  </si>
  <si>
    <t>CNPS-481-2025</t>
  </si>
  <si>
    <t>CDP_1184 30/09/2025</t>
  </si>
  <si>
    <t>CNPS-482-2025</t>
  </si>
  <si>
    <t>CDP_1183 30/09/2025</t>
  </si>
  <si>
    <t>CNPS-483-2025</t>
  </si>
  <si>
    <t>PRESTACION DE SERVICIO COMO PROFERSIONAL EN EN ENFERMERIA, EN EL AREA DE CONSULTA EXTERNA O DEMAS ARESA ASIGNADAS DEL HOSPITAL DEPARTAMENTAL SAN ANTONIO ESE DE ROLDANILLO, PARA OTIMIZAR LA EFICIENCIA OPERATIVA Y ASEGURAR LA PRESTACION EFICIENTE DE LOS SERVICIOS OFRECIDOS DE LA INSTITUCION A LA COMUNIDAD</t>
  </si>
  <si>
    <t>NATHALY JOHANA ROJAS GIRARLDO</t>
  </si>
  <si>
    <t>CDP_1193 30/09/2025</t>
  </si>
  <si>
    <t>CNPS-484-2025</t>
  </si>
  <si>
    <t>CDP_1181 30/09/2025</t>
  </si>
  <si>
    <t>CNPS-485-2025</t>
  </si>
  <si>
    <t>PRESTACIÓN DE SERVICIOS COMO PROFESIONAL EN ENFERMERÍA EN LAS ÁREA DE CIRUGÍA Y PARTOSO DEMAS AREAS ASIGANDAS DEL HOSPITAL DEPARTAMENTAL SAN ANTONIO ESE DE ROLDANILLO, PARA OPTIMIZAR LA EFICIENCIA OPERATIVA Y ASEGURAR LA PRESTACIÓN EFICIENTE DE LOS SERVICIOS OFRECIDOS POR LA INSTITUCIÓN A LA COMUNIDAD</t>
  </si>
  <si>
    <t>CDP_1191 30/09/2025</t>
  </si>
  <si>
    <t>CNPS-486-2025</t>
  </si>
  <si>
    <t>CDP_1186 30/09/2025</t>
  </si>
  <si>
    <t>CNPS-487-2025</t>
  </si>
  <si>
    <t>PRESTACION DE SERVICIOS PROFESIONALES COMO PROFESIONAL EN MEDICINA EN LA OPERACIÓN DE UNO DE LOS EQUIPOS BASICOS DE SALUD EN EL FORTALECIMIENTO DE LA GESTION TERRITORIAL BASADA EN ATENCION PRIMARIA EN SALUD - APS EN EL MARCO DE LA IMPLEMENTACION DEL MODELO DE SALUD PREVENTIVO Y PREDICTIVO PARA AVANZAR EN LA GARANTIA DEL DERECHO FUNDAMENTAL A LA SALUD EN EL MUNICIPIO DE ROLDANILLO, VALLE DEL CAUCA -RESOLUCION 873 DE 2025</t>
  </si>
  <si>
    <t>JUAN SEBASTIAN ARIAS ARANGO</t>
  </si>
  <si>
    <t>CDP_1054 30/09/2025</t>
  </si>
  <si>
    <t>CNPS-488-2025</t>
  </si>
  <si>
    <t>CDP_1187 30/09/2025</t>
  </si>
  <si>
    <t>CNPS-489-2025</t>
  </si>
  <si>
    <t>PRESTACION DE SERVICIOS COMO PROFESIONAL EN BACTERIOLOGIA, EN LAS AREAS DE LABORATORIO DEL HOSPITAL DEPARTAMENTAL SAN ANTONIO ESE DE ROLDANILLO, PARA OPTIMIZAR LA EFICIENCIA OPERATIVA Y ASEGURAR LA PRESENTACION EFICIENTE DE LOS SERVICIOS OFRECIDOS POR LA INTITUCION A LA COMUNIDAD</t>
  </si>
  <si>
    <t>CALUDIA MELISA TASCON DE LA CRUZ</t>
  </si>
  <si>
    <t>CDP_1194 30/09/2025</t>
  </si>
  <si>
    <t>CNPS-490-2025</t>
  </si>
  <si>
    <t>CDP_1195 30/09/2025</t>
  </si>
  <si>
    <t>CNPS-491-2025</t>
  </si>
  <si>
    <t>CDP_1196 30/09/2025</t>
  </si>
  <si>
    <t>CNPS-492-2025</t>
  </si>
  <si>
    <t>MARIA CAMILA LOZANO QUINTERO</t>
  </si>
  <si>
    <t>CDP_1055 30/09/2025</t>
  </si>
  <si>
    <t>CNPS-493-2025</t>
  </si>
  <si>
    <t>ISABELA MIRANDA MESA</t>
  </si>
  <si>
    <t>CDP_1053 30/09/2025</t>
  </si>
  <si>
    <t>CNPS-494-2025</t>
  </si>
  <si>
    <t>PRESTACIÓN DE SERVICIOS DE APOYO A LA GESTIÓN EN LOS PROCESOS ADMINISTRATIVOS DEL HOSPITAL DEPARTAMENTAL SAN ANTONIO ESE DE ROLDANILLO, CUBRIENDO LAS AREAS DE LABORATORIO PARA OPTIMIZAR LA EFICIENCIA OPERATIVA, CUMPLIR CON LA NORMATIVIDAD VIGENTE, ASEGURANDO LA PRESTACIÓN EFICIENTE DE LOS SERVICIOS OFRECIDOS POR LA INSTITUCIÓN A LA COMUNIDAD.</t>
  </si>
  <si>
    <t>CDP_1133 30/09/2025</t>
  </si>
  <si>
    <t>CNPS-495-2025</t>
  </si>
  <si>
    <t>DANIEL ALEJANDRO LOPEZ HERNANDEZ</t>
  </si>
  <si>
    <t>CDP_1059 30/09/2025</t>
  </si>
  <si>
    <t>CNPS-496-2025</t>
  </si>
  <si>
    <t>LUISA FERNANDA RAIGOZA BERMUDEZ</t>
  </si>
  <si>
    <t>CDP_1056 30/09/2025</t>
  </si>
  <si>
    <t>CNPS-497-2025</t>
  </si>
  <si>
    <t>SARA ALEJANDRA OSPINA GARCIA</t>
  </si>
  <si>
    <t>CDP_1052 30/09/2025</t>
  </si>
  <si>
    <t>CNPS-498-2025</t>
  </si>
  <si>
    <t>PRESTACIÓN DE SERVICIOS PROFESIONALES COMO PROFESIONAL EN MEDICINA EN LA OPERACIÓN DE UNO DE LOS EQUIPOS BÁSICOS DE SALUD EN EL FORTALECIMIENTO DE LA GESTIÓN TERRITORIAL BASADA EN ATENCIÓN PRIMARIA EN SALUD - APS EN EL MARCO DE LA IMPLEMENTACIÓN DEL MODELO DE SALUD PREVENTIVO Y PREDICTIVO PARA AVANZAR EN LA GARANTIA DEL DERECHO FUNDAMENTAL A LA SALUD EN EL MUNICIPIO DE ROLDANILLO, VALLE DEL CAUCA - RESOLUCIÓN 873 DE 2025</t>
  </si>
  <si>
    <t>LUIS NOLBERTO SANCHEZ BETANCOURTH</t>
  </si>
  <si>
    <t>CDP_1058 30/09/2025</t>
  </si>
  <si>
    <t>CNPS-499-2025</t>
  </si>
  <si>
    <t>VALENTINA RODAS CASTAÑEDA</t>
  </si>
  <si>
    <t>CDP_1057 30/09/2025</t>
  </si>
  <si>
    <t>CNPS-500-2025</t>
  </si>
  <si>
    <t>CDP_1190 30/09/2025</t>
  </si>
  <si>
    <t>CNPS-501-2025</t>
  </si>
  <si>
    <t>CDP_1197 30/09/2025</t>
  </si>
  <si>
    <t>CNPS-502-2025</t>
  </si>
  <si>
    <t>CDP_1178 30/09/2025</t>
  </si>
  <si>
    <t>CNPS-503-2025</t>
  </si>
  <si>
    <t>CDP_1176 30/09/2025</t>
  </si>
  <si>
    <t>CNPS-504-2025</t>
  </si>
  <si>
    <t>CDP_1189 30/09/2025</t>
  </si>
  <si>
    <t>CNPS-505-2025</t>
  </si>
  <si>
    <t>PRESTACIÓN DE SERVICIOS DE APOYO A LA GESTIÓN COMO TÉCNICO EN AUXILIAR DE ENFERMERÍA EN EL ÁREA DE URGENCIAS DEL HOSPITAL DEPARTAMENTAL SAN ANTONIO ESE DE ROLDANILLO, PARA OPTIMIZAR LA EFICIENCIA OPERATIVA Y ASEGURAR LA PRESTACIÓN EFICIENTE DE LOS SERVICIOS OFRECIDOS POR LA INSTITUCIÓN A LA COMUNIDAD</t>
  </si>
  <si>
    <t>CDP_1149 30/09/2025</t>
  </si>
  <si>
    <t>CNPS-506-2025</t>
  </si>
  <si>
    <t>PRESTACION DE SERVICIO COMO PROFESIONAL EN NUTRICION EN LA IMPLEMENTACION DEL SERVICIO INTEGRADO DE ATENCION Y PREVENCION DE LA DESNUTRICION AGUDA MODERADA Y SEVERA, EN EL MARCO DEL COVENIO INTERADMINISTRATIVO 760092422025 SUSCRITO ENTRE EL HOSPITAL DEPARTAMENTALSAN ANTONIO DE ROLDANILLO ESE Y EL INSTITUTO COLOMBIANO DE BIENESTAR FAMILIAR -ICBF-</t>
  </si>
  <si>
    <t>CDP_1049 30/09/2025</t>
  </si>
  <si>
    <t>CNPS-507-2025</t>
  </si>
  <si>
    <t>PRESTACIÓN DE SERVICIOS DE APOYO A LA GESTIÓN COMO PROMOTOR EN SALUD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 - RESOLUCIÓN 873 DE 2025.</t>
  </si>
  <si>
    <t>CDP_1227 30/09/2025</t>
  </si>
  <si>
    <t>CNPS-508-2025</t>
  </si>
  <si>
    <t>PRESTACIÓN DE SERVICIOS DE APOYO A LA GESTIÓN COMO AUXILIAR DE ENFERMERIA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 - RESOLUCIÓN 873 DE 2025.</t>
  </si>
  <si>
    <t>LILIANA PATRICIA CASTILLA BETANCOURT</t>
  </si>
  <si>
    <t>CDP_1221 30/09/2025</t>
  </si>
  <si>
    <t>CNPS-509-2025</t>
  </si>
  <si>
    <t>CDP_1223 30/09/2025</t>
  </si>
  <si>
    <t>CNPS-510-2025</t>
  </si>
  <si>
    <t>PRESTACIÓN DE SERVICIOS PROFESIONALES COMO PROFESIONAL EN PSICOLOGÍA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 - RESOLUCIÓN 873 DE 2025.</t>
  </si>
  <si>
    <t>CDP_1147 30/09/2025</t>
  </si>
  <si>
    <t>CNPS-511-2025</t>
  </si>
  <si>
    <t>NINI JOHANA MOSQUERA BELTRAN</t>
  </si>
  <si>
    <t>CDP_1249 01/10/2025</t>
  </si>
  <si>
    <t>CNPS-512-2025</t>
  </si>
  <si>
    <t>CDP_1219 30/09/2025</t>
  </si>
  <si>
    <t>CNPS-513-2025</t>
  </si>
  <si>
    <t>CDP_1217 30/09/2025</t>
  </si>
  <si>
    <t>CNPS-514-2025</t>
  </si>
  <si>
    <t>CDP_1222 30/09/2025</t>
  </si>
  <si>
    <t>CNPS-515-2025</t>
  </si>
  <si>
    <t>CDP_1261 01/10/2025</t>
  </si>
  <si>
    <t>CNPS-516-2025</t>
  </si>
  <si>
    <t>CDP_1248 01/10/2025</t>
  </si>
  <si>
    <t>CNPS-517-2025</t>
  </si>
  <si>
    <t>CDP_1280 01/10/2025</t>
  </si>
  <si>
    <t>CNPS-518-2025</t>
  </si>
  <si>
    <t>CDP_1254 01/10/2025</t>
  </si>
  <si>
    <t>CNPS-519-2025</t>
  </si>
  <si>
    <t>DEICY LORENA REYES PEREZ</t>
  </si>
  <si>
    <t>CDP_1258 01/10/2025</t>
  </si>
  <si>
    <t>CNPS-520-2025</t>
  </si>
  <si>
    <t>CDP_1255 01/10/2025</t>
  </si>
  <si>
    <t>CNPS-521-2025</t>
  </si>
  <si>
    <t>PRESTACIÓN DE SERVICIOS PROFESIONALES COMO PROFESIONAL EN ENFERMERÍA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 - RESOLUCIÓN 873 DE 2025.</t>
  </si>
  <si>
    <t>MARIA CAMILA GRAJALES VALENCIA</t>
  </si>
  <si>
    <t>CDP_1268 01/10/2025</t>
  </si>
  <si>
    <t>CNPS-522-2025</t>
  </si>
  <si>
    <t>CDP_1269 01/10/2025</t>
  </si>
  <si>
    <t>CNPS-523-2025</t>
  </si>
  <si>
    <t xml:space="preserve">PRESTACIÓN DE SERVICIOS DE APOYO A LA GESTIÓN COMO AUXILIAR DE ENFERMERIA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 - RESOLUCIÓN 873 DE 2025.
</t>
  </si>
  <si>
    <t>CNPS-524-2025</t>
  </si>
  <si>
    <t>JOSE MARTIN PEREZ PARRA</t>
  </si>
  <si>
    <t>CDP_1276 01/10/2025</t>
  </si>
  <si>
    <t>CNPS-525-2025</t>
  </si>
  <si>
    <t>PRESTACIÓN DE SERVICIOS DE APOYO A LA GESTIÓN COMO AUXILIAR ADMINISTRATIVO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 - RESOLUCIÓN 873 DE 2025.</t>
  </si>
  <si>
    <t>ANDRES RICARDO HERNANDEZ ARIAS</t>
  </si>
  <si>
    <t>CDP_1293 01/10/2025</t>
  </si>
  <si>
    <t>CNPS-526-2025</t>
  </si>
  <si>
    <t>CDP_1220 30/09/2025</t>
  </si>
  <si>
    <t>CNPS-527-2025</t>
  </si>
  <si>
    <t>CDP_1272 01/10/2025</t>
  </si>
  <si>
    <t>CNPS-528-2025</t>
  </si>
  <si>
    <t>CDP_1275 01/10/2025</t>
  </si>
  <si>
    <t>CNPS-529-2025</t>
  </si>
  <si>
    <t>CDP_1277 01/10/2025</t>
  </si>
  <si>
    <t>CNPS-530-2025</t>
  </si>
  <si>
    <t>PRESTACION DE SERVICIOS DE APOYO A LA GESTION COMO PROMOTOR DE LA SALUD EN LA OPERACIÓN DE UNO DE LOS EQUIPOS BASICOS DE SALUD EN EL FORTALECIMIENTO DE LA GESTION TERRITORIAL BASADA EN ATENCION PRIMARIA EN SALUD - APS EN EL MARCO DE LA IMPLEMENTACION DEL MODELO DE SALUD PREVENTIVO Y PREDICTIVO PARA AVANZAR EN LA GARANTIA DEL DERECHO FUNDAMENTAL A LA SALUD EN EL MUNICIPIO DE ROLDANILLO, VALLE DEL CAUCA -RESOLUCION 873 DE 2025</t>
  </si>
  <si>
    <t>CLAUDIA JOHANA SARRIA RESTREPO</t>
  </si>
  <si>
    <t>CDP_1228 30/09/2025</t>
  </si>
  <si>
    <t>CNPS-531-2025</t>
  </si>
  <si>
    <t>PRESTACION DE SERVICIOS PROFESIONALES COMO PROFESIONAL EN ENFERMERIA EN LA COORDINACION DE LA OPERCION UNO DE LOS EQUIPOS BASICOS DE SALUD EN EL FORTALECIMIENTO DE LA GESTION TERRITORIAL BASADA EN ATENCION PRIMARIA EN SALUD - APS EN EL MARCO DE LA IMPLEMENTACION DEL MODELO DE SALUD PREVENTIVO Y PREDICTIVO PARA AVANZAR EN LA GARANTIA DEL DERECHO FUNDAMENTAL A LA SALUD EN EL MUNICIPIO DE ROLDANILLO, VALLE DEL CAUCA -RESOLUCION 873 DE 2025</t>
  </si>
  <si>
    <t>CDP_1294 01/10/2025</t>
  </si>
  <si>
    <t>CNPS-532-2025</t>
  </si>
  <si>
    <t>JUAN DAVID ZAPATA ALVAREZ</t>
  </si>
  <si>
    <t>CDP_1288 01/10/2025</t>
  </si>
  <si>
    <t>CNPS-533-2025</t>
  </si>
  <si>
    <t>PRESTACION DE SERVICIOS PROFECIONALES COMO PROFESIONAL EN PSIOCOLOGIA EN LA OPERACIÓN DE UNO DE LOS EQUIPOS BASICOS DE SALUD EN EL FORTALECIMIENTO DE LA GESTION TERRITORIAL BASADA EN ATENCION PRIMARIA EN SALUD - APS EN EL MARCO DE LA IMPLEMENTACION DEL MODELO DE SALUD PREVENTIVO Y PREDICTIVO PARA AVANZAR EN LA GARANTIA DEL DERECHO FUNDAMENTAL A LA SALUD EN EL MUNICIPIO DE ROLDANILLO, VALLE DEL CAUCA -RESOLUCION 873 DE 2025</t>
  </si>
  <si>
    <t>CDP_1281 01/10/2025</t>
  </si>
  <si>
    <t>CNPS-534-2025</t>
  </si>
  <si>
    <t>PRESTACIÓN DE SERVICIOS DE APOYO A LA GESTIÓN COMO AUXILIAR DE ENFERMERIA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 - RESOLUCIÓN 873 DE 2025.</t>
  </si>
  <si>
    <t>CDP_1224 01/10/2025</t>
  </si>
  <si>
    <t>CNPS-535-2025</t>
  </si>
  <si>
    <t>DANIELA VELEZ LOPEZ</t>
  </si>
  <si>
    <t>CNPS-536-2025</t>
  </si>
  <si>
    <t>PRESTACION DE SERVICIOS DE APOYO A LA GESTION COMO AUXILIAR DE ENFERMERIA EN LA OPERACION DE UNO DE LOS EQUIPOS BASICOS DE SALUD EN EL FORTALECIMIENTO DE LA GESTION TERRITORIAL BASADA EN ATENCION PRIMARIA EN SALUD - APS EN EL MARCO DE LA IMPLEMENTACION DEL MODELO DE SALUD PREVENTIVO Y PREDICTIVO PARA AVANZAR EN LA GARANTIA DEL DERECHO FUNDAMENTAL A LA SALUD EN EL MUNICIPIO DE ROLDANILLO, VALLE DEL CAUCA -RESOLUCION 873 DE 2025</t>
  </si>
  <si>
    <t>CDP_1265 01/10/2025</t>
  </si>
  <si>
    <t>CNPS-537-2025</t>
  </si>
  <si>
    <t>DIANA PATRICIA HERNANDEZ GUZMAN</t>
  </si>
  <si>
    <t>CDP_1273 01/10/2025</t>
  </si>
  <si>
    <t>CNPS-538-2025</t>
  </si>
  <si>
    <t>CDP_1218 01/10/2025</t>
  </si>
  <si>
    <t>CNPS-539-2025</t>
  </si>
  <si>
    <t>CDP_1282 01/10/2025</t>
  </si>
  <si>
    <t>CNPS-540-2025</t>
  </si>
  <si>
    <t>CDP_1256 01/10/2025</t>
  </si>
  <si>
    <t>CNPS-541-2025</t>
  </si>
  <si>
    <t>CDP_1286 01/10/2025</t>
  </si>
  <si>
    <t>CNPS-542-2025</t>
  </si>
  <si>
    <t>CDP_1229 30/09/2025</t>
  </si>
  <si>
    <t>CNPS-543-2025</t>
  </si>
  <si>
    <t>CDP_1284 01/10/2025</t>
  </si>
  <si>
    <t>CNPS-544-2025</t>
  </si>
  <si>
    <t>JULIAN HUMBERTO VÉLEZ VARELA</t>
  </si>
  <si>
    <t>CDP_1263 01/10/2025</t>
  </si>
  <si>
    <t>CNPS-545-2025</t>
  </si>
  <si>
    <t>CDP_1251 01/10/2025</t>
  </si>
  <si>
    <t>CNPS-546-2025</t>
  </si>
  <si>
    <t>MARIA CAMILA BENITEZ LONDOÑO</t>
  </si>
  <si>
    <t>CDP_1278 01/10/2025</t>
  </si>
  <si>
    <t>CNPS-547-2025</t>
  </si>
  <si>
    <t>SANDRA CRISTINA JIMENEZ AGUDELO</t>
  </si>
  <si>
    <t>CNPS-548-2025</t>
  </si>
  <si>
    <t>MARIA JOSE RUIZ SARRIA</t>
  </si>
  <si>
    <t>CDP_1291 01/10/2025</t>
  </si>
  <si>
    <t>CNPS-549-2025</t>
  </si>
  <si>
    <t>SOFIA SALAZAR VARON</t>
  </si>
  <si>
    <t>CDP_1270 01/10/2025</t>
  </si>
  <si>
    <t>CNPS-550-2025</t>
  </si>
  <si>
    <t>MARIANO LOZANO GALLO</t>
  </si>
  <si>
    <t>CDP_1271 07/10/2025</t>
  </si>
  <si>
    <t>CNPS-551-2025</t>
  </si>
  <si>
    <t>LUISA FERNANDA BECERRA PEREZ</t>
  </si>
  <si>
    <t>CDP_1274 01/10/2025</t>
  </si>
  <si>
    <t>CNPS-552-2025</t>
  </si>
  <si>
    <t>MAYRA ALEJANDRA DIAZ MEZA</t>
  </si>
  <si>
    <t>CDP_1216 30/09/2025</t>
  </si>
  <si>
    <t>CNPS-553-2025</t>
  </si>
  <si>
    <t>CDP_1283 01/10/2025</t>
  </si>
  <si>
    <t>CNPS-554-2025</t>
  </si>
  <si>
    <t>LAUTRA STEFANY VELAQUEZ POSADA</t>
  </si>
  <si>
    <t>CDP_1264 01/10/2025</t>
  </si>
  <si>
    <t>CNPS-555-2025</t>
  </si>
  <si>
    <t>MAYDA LORENA LOPEZ RIOS</t>
  </si>
  <si>
    <t>CDP_1290 01/10/2025</t>
  </si>
  <si>
    <t>CNPS-556-2025</t>
  </si>
  <si>
    <t>PRESTACION DE SERVICIOS PROFESIONALES Y/ODE APOYO A LA GESTION COMO PROFESIONAL EN MEDICINA A LA OPERACIÓN DE LOS ESQUIPOS BASICOS DE SALUD (EBS) FROTALECIENDO LA ATENCION PRIMARIA EN SALUD (APS) MEDIANTE UN UN MODELO PREVENTIVO, PREDICTIVO Y RESOLUTIVO QUE GARANTICE EL DERECHO FUNDAMENTAL A LA SALUD DE LAS PERSONA FAMILIAS Y COMUNIDADES EN EL MUNICIPIO DE ROLDANILLO CON UN ENFOQUE EN LA ATENCION Y EXPERIENCIA DEL USUARIO, PROPORCIONANDO UN ESTANDAR QUE REGULE Y FACILITE LA RELACION ENTRE EL HOSPITALY LA ATENCION DE LOS USUARIOS AFILIADOS A LAS DIFERENTES EPS</t>
  </si>
  <si>
    <t>ISABEL CRISTINA BARONA GOMEZ</t>
  </si>
  <si>
    <t>CDP_1306 01/10/2025</t>
  </si>
  <si>
    <t>CNPS-557-2025</t>
  </si>
  <si>
    <t>PRESTACIÓN DE SERVICIOS EN MEDICINA ESPECIALIZADA EN ORTOPEDIA Y TRAUMATOLOGIA EN EL HOSPITAL DEPARTAMENTAL SAN ANTONIO ESE</t>
  </si>
  <si>
    <t>CDP_1056 26/09/2025</t>
  </si>
  <si>
    <t>CNPS-558-2025</t>
  </si>
  <si>
    <t>CDP_1266 01/10/2025</t>
  </si>
  <si>
    <t>CNPS-559-2025</t>
  </si>
  <si>
    <t>CENTRO MEDICO OFTALMOLOGICO Y LABORATORIO CLINICO ANDRADE NARVAEZ SOCIEDAD POR ACCIONES SIMPLIFICADA – COLCAN SAS</t>
  </si>
  <si>
    <t>800066001-3</t>
  </si>
  <si>
    <t>CDP_1032</t>
  </si>
  <si>
    <t>CNPS-560-2025</t>
  </si>
  <si>
    <t>PRESTACIÓN DE SERVICIOS DE APOYO A LA GESTIÓN COMO AUXILIAR DE ENFERMERÍA EN LA OPERACIÓN DE UNO DE LOS EQUIPOS BÁSICOS DE SALUD, EN EL FORTALECIMIENTO DE LA GESTIÓN TERRITORIAL BASADA EN LA ATENCIÓN PRIMARIA EN SALUD (APS), EN EL MARCO DE LA IMPLEMENTACIÓN DEL MODELO DE SALUD PREVENTIVO Y PREDICTIVO, PARA AVANZAR EN LA GARANTÍA DEL DERECHO FUNDAMENTAL A LA SALUD EN EL MUNICIPIO DE ROLDANILLO, VALLE DEL CAUCA – RESOLUCIÓN 873 DE 2025</t>
  </si>
  <si>
    <t>CDP_1257 01/10/2025</t>
  </si>
  <si>
    <t>CNPS-561-2025</t>
  </si>
  <si>
    <t>CDP_1177 30/09/2025</t>
  </si>
  <si>
    <t>CNSB-001-2025</t>
  </si>
  <si>
    <t>900312289-5</t>
  </si>
  <si>
    <t>CDP_050 10/01/2025</t>
  </si>
  <si>
    <t>COM_48 17/01/2025</t>
  </si>
  <si>
    <t>CDP_1025</t>
  </si>
  <si>
    <t>COM_1070</t>
  </si>
  <si>
    <t>CNSB-002-2025</t>
  </si>
  <si>
    <t>CDP_47 10/01/2025</t>
  </si>
  <si>
    <t>COM_51 23/01/2025</t>
  </si>
  <si>
    <t>30/05/2025        25/08/2025</t>
  </si>
  <si>
    <t>CDP_606</t>
  </si>
  <si>
    <t>COM_645</t>
  </si>
  <si>
    <t>CNSB-003-2025</t>
  </si>
  <si>
    <t>CDP_52 10/01/2025</t>
  </si>
  <si>
    <t>COM_67 27/01/2025</t>
  </si>
  <si>
    <t>CDP_472</t>
  </si>
  <si>
    <t>COM_490</t>
  </si>
  <si>
    <t>CNSB-004-2025</t>
  </si>
  <si>
    <t>CDP_45 10/01/2025</t>
  </si>
  <si>
    <t>COM_68 27/01/2025</t>
  </si>
  <si>
    <t>CDP_759</t>
  </si>
  <si>
    <t>COM_828</t>
  </si>
  <si>
    <t>CNSB-005-2025</t>
  </si>
  <si>
    <t>CDP_48 10/01/2025</t>
  </si>
  <si>
    <t>COM_71 30/01/2025</t>
  </si>
  <si>
    <t>2/07/2025 27/08/2025</t>
  </si>
  <si>
    <t>CDP_674   CDP_809</t>
  </si>
  <si>
    <t xml:space="preserve">COM_724                       COM_838                  </t>
  </si>
  <si>
    <t>CNSB-006-2025</t>
  </si>
  <si>
    <t>CDP_3 01/01/2025</t>
  </si>
  <si>
    <t>COM_110 03/02/2025</t>
  </si>
  <si>
    <t>22/08/2025      30/09/2025</t>
  </si>
  <si>
    <t>CDP_797 CDP_1209</t>
  </si>
  <si>
    <t>COM_830                  COM_1085</t>
  </si>
  <si>
    <t>CNSB-007-2025</t>
  </si>
  <si>
    <t>CDP_607 30/05/2025</t>
  </si>
  <si>
    <t>COM_608 04/06/2025</t>
  </si>
  <si>
    <t>CDP_1013</t>
  </si>
  <si>
    <t>COM_889</t>
  </si>
  <si>
    <t>CNSE-001-2025</t>
  </si>
  <si>
    <t>CDP_142 25/01/2025</t>
  </si>
  <si>
    <t>COM_72 30/01/2025</t>
  </si>
  <si>
    <t>CNSI-001-2025</t>
  </si>
  <si>
    <t>PRESTACION DE SERVICIOS EN EL PROCESO ASISTENCIAL EN EL HOSPITAL DEPARTAMENTAL SAN ANTONIO EMPRESA SOCIAL DEL ESTADO DE ROLDANILLO VALLE</t>
  </si>
  <si>
    <t>CDP_1 01/01/2025</t>
  </si>
  <si>
    <t>COM_18 02/01/2025</t>
  </si>
  <si>
    <t>2/07/2025 22/08/2025</t>
  </si>
  <si>
    <t>CDP_673 CDP_793</t>
  </si>
  <si>
    <t>COM_724                                            COM_818</t>
  </si>
  <si>
    <t>CNSI-002-2025</t>
  </si>
  <si>
    <t>PRESTACION DE SERVICIOS DE APOYO A LA GESTION EN PROCESOS ADMINISTRATIVOS EN EL HOSPITAL DEPARTAMENTAL SAN ANTONIO ESE DE ROLDANILLO VALLE</t>
  </si>
  <si>
    <t>CDP_2 01/01/2025</t>
  </si>
  <si>
    <t>COM_19 02/01/2025</t>
  </si>
  <si>
    <t>6/06/2025    25/08/2025</t>
  </si>
  <si>
    <t>CDP_608  CDP_796</t>
  </si>
  <si>
    <t>COM_655                                                       COM_817</t>
  </si>
  <si>
    <t>CNSI-003-2025</t>
  </si>
  <si>
    <t>CDP_4 01/01/2025</t>
  </si>
  <si>
    <t>COM_20 02/01/2025</t>
  </si>
  <si>
    <t>26/06/2025  22/08/2025</t>
  </si>
  <si>
    <t>CDP_665 CDP_794</t>
  </si>
  <si>
    <t>COM_668                                                 COM_816</t>
  </si>
  <si>
    <t>CNSI-004-2025</t>
  </si>
  <si>
    <t>PRESTACIÓN DE SERVICIOS DE APOYO A LA GESTIÓN EN PROCESOS JURÍDICOS, CONTRACTUALES, CONTABLES, CALIDAD, PLANEACIÓN Y ADMINISTRATIVOS PARA EL HOSPITAL DEPARTAMENTAL SAN ANTONIO ESE DE ROLDANILLO VALLE</t>
  </si>
  <si>
    <t>CDP_975 01/09/2025</t>
  </si>
  <si>
    <t>CNSI-005-2025</t>
  </si>
  <si>
    <t>CDP_976 01/09/2025</t>
  </si>
  <si>
    <t>CNSI-006-2025</t>
  </si>
  <si>
    <t>PRESTACION DE SERVICIOS DE APOYO A LA GESTION EN PROCESOS JURIDICOS, CONTRACTUALES, CONTABLES, CALIDAD, PLANEACIÓN Y ADMINISTRATIVOS PARA EL HOSPITAL DEPARTAMENTAL SAN ANTONIO ESE DE ROLDANILLO VALLE</t>
  </si>
  <si>
    <t>CDP_1208 30/09/2025</t>
  </si>
  <si>
    <t>CNSI-007 2025</t>
  </si>
  <si>
    <t>CDP_1308 10/10/2025</t>
  </si>
  <si>
    <t>OCOM-001-2025</t>
  </si>
  <si>
    <t>COMPRA DE EQUIPOS DE COMPUTO, PORTATILES ALL IN ONE, IMPRESORAS MULTIFUNCIONALES Y LICENCIAS DE EQUIPOS PARA LA ADECUADA PRESTACIÓN DE SERVICIOS EN EL HOSPITAL DEPARTAMENTAL SAN ANTONIO E.S.E. DE ROLDANILLO VALLE</t>
  </si>
  <si>
    <t>CDP_392     28/03/2025</t>
  </si>
  <si>
    <t>COM_407 03/04/2025</t>
  </si>
  <si>
    <t>CDP_404</t>
  </si>
  <si>
    <t>COM_446</t>
  </si>
  <si>
    <t>OCOM-002-2025</t>
  </si>
  <si>
    <t>COMPRA DE UN (1) VEHÍCULO UTILITARIO O SUV HÍBRIDO, PARA EL DESARROLLO DE LAS DILIGENCIAS DE ORDEN ADMINISTRATIVAS U OPERATIVAS DEL HOSPITAL DEPARTAMENTAL SAN ANTONIO E.S.E.</t>
  </si>
  <si>
    <t>CARCO SA</t>
  </si>
  <si>
    <t>860000189-3</t>
  </si>
  <si>
    <t>CDP_636 11/06/2025</t>
  </si>
  <si>
    <t>COM_718 04/07/2025</t>
  </si>
  <si>
    <t>OMAN-001-2025</t>
  </si>
  <si>
    <t>PRESTACIÓN DE SERVICIOS PARA LA REALIZACIÓN DE ACTIVIDADES DE MANTENIMIENTO PREVENTIVO Y CORRECTIVO DE EQUIPO DE RAYOS X</t>
  </si>
  <si>
    <t>CDP_306 25/02/2025</t>
  </si>
  <si>
    <t>COM_374 17/03/2025</t>
  </si>
  <si>
    <t>OSUM-001-2025</t>
  </si>
  <si>
    <t>CDP_49 10/01/2025</t>
  </si>
  <si>
    <t>COM_75 31/01/2025</t>
  </si>
  <si>
    <t>OSUM-002-2025</t>
  </si>
  <si>
    <t>SUMINISTRO DE 180.000 UNIDADES DE HUEVOS TIPO A, PARA CUBRIR LA EJECUCIÓN DEL PROGRAMA DE SERVICIO INTEGRADO DE ATENCIÓN Y PREVENCIÓN DE LA DESNUTRICIÓN DEL ICBF, EN CONCORDANCIA CON LOS SERVICIOS PROPIOS DEL SISTEMA DE SALUD COLOMBIANO PARA EL MANEJO DE LA DESNUTRICIÓN AGUDA MODERADA Y SEVERA, EN EL MARCO DEL CONVENIO INTERADMINISTRATIVO 760092422025 SUSCRITO ENTRE EL HOSPITAL DEPARTAMENTAL SAN ANTONIO DE ROLDANILLO E.S.E. Y EL INSTITUTO COLOMBIANO DE BIENESTAR FAMILIAR ICBF</t>
  </si>
  <si>
    <t>OFELIA BOTERO VELASQUEZ</t>
  </si>
  <si>
    <t>CDP_961 22/08/2025</t>
  </si>
  <si>
    <t>COM_866 28/08/2025</t>
  </si>
  <si>
    <t>OSUM-003-2025 50221000</t>
  </si>
  <si>
    <t>SUMINISTRO DE VERDURAS, GRANOS Y OTROS PRODUCTOS BÁSICOS DE LA CANASTA FAMILIAR, PARA CUBRIR LA EJECUCIÓN DEL PROGRAMA DE SERVICIO INTEGRADO DE ATENCIÓN Y PREVENCIÓN DE LA DESNUTRICIÓN DEL ICBF, EN CONCORDANCIA CON LOS SERVICIOS PROPIOS DEL SISTEMA DE SALUD COLOMBIANO PARA EL MANEJO DE LA DESNUTRICION AGUDA MODERADA Y SEVERA, EN EL MARCO DEL CONVENIO INTERADMINISTRATIVO 760092422025 SUSCRITO ENTRE EL HOSPITAL DEPARTAMENTAL SAN ANTONIO DE ROLDANILLO E.S.E. Y EL INSTITUTO COLOMBIANO DE BIENESTAR FAMILIAR – ICBF</t>
  </si>
  <si>
    <t>ASOCIACIÓN DE PEQUEÑOS PRODUCTORES Y AGRICULTORES COMUNITARIOS DEL VALLE DEL CAUCA</t>
  </si>
  <si>
    <t>901835449-5</t>
  </si>
  <si>
    <t>CDP_1024 11/09/2025</t>
  </si>
  <si>
    <t>CNSB-008-2025</t>
  </si>
  <si>
    <t>CDP_1340 31/10/2025</t>
  </si>
  <si>
    <t>CNPS-562-2025</t>
  </si>
  <si>
    <t>CDP_1252 01/10/2025</t>
  </si>
  <si>
    <t>CNPS-563-2025</t>
  </si>
  <si>
    <t>CDP_1267 01/10/2025</t>
  </si>
  <si>
    <t>CNPS-564-2025</t>
  </si>
  <si>
    <t>PRESTACIÓN DE SERVICIOS DE APOYO A LA GESTIÓN COMO PROMOTOR DE SALUD EN LA OPERACIÓN DE UNO DE LOS EQUIPOS BÁSICOS DE SALUD, EN EL FORTALECIMIENTO DE LA GESTIÓN TERRITORIAL BASADA EN ATENCIÓN PRIMARIA EN SALUD (APS), EN EL MARCO DE LA IMPLEMENTACIÓN DEL MODELO DE SALUD PREVENTIVO Y PREDICTIVO, PARA AVANZAR EN LA GARANTIA DEL DERECHO FUNDAMENTAL A LA SALUD EN EL MUNICIPIO DE ROLDANILLO, VALLE DEL CAUCA - RESOLUCIÓN 873 DE 2025.</t>
  </si>
  <si>
    <t xml:space="preserve">ALEYDA JISSELA BASTIDAS </t>
  </si>
  <si>
    <t>CDP_1230 30/09/2025</t>
  </si>
  <si>
    <t>CNPS-565-2025</t>
  </si>
  <si>
    <t>MARICEL HOYOS CORDOBA</t>
  </si>
  <si>
    <t>CDP_1231 30/09/2025</t>
  </si>
  <si>
    <t>CNPS-566-2025</t>
  </si>
  <si>
    <t>CDP_1314 14/10/2025</t>
  </si>
  <si>
    <t>CDMIN-037-2025</t>
  </si>
  <si>
    <t>SUMINISTRO DE PAPELERIA PARA USO EN LOS DIFERENTES SERVICIOS ASISTENCIALES Y ADMINISTRATIVOS DEL HDSA ESE</t>
  </si>
  <si>
    <t>OLGA MARIA GOMEZ ARIAS</t>
  </si>
  <si>
    <t>CDP_1336 27/10/2025</t>
  </si>
  <si>
    <t>COMPRA DE UN VEHÍCULO AMBULANCIA TIPO TAM, CONFORME LAS CONDICIONES DE HABILITACIÓN DE QUE TRATA EL NUMERAL 11.6.2 DEL ANEXO TÉCNICO MANUAL DE INSCRIPCIÓN DE PRESTADORES Y HABILITACIÓN DE SERVICIOS DE SALUD DE LA RESOLUCIÓN 00003100 DE 2019 DEL MINISTERIO DE SALUD Y LA PROTECCIÓN SOCIAL – RESOLUCIÓN 1904 DE 2024</t>
  </si>
  <si>
    <t>CDP_1309 10/10/2025</t>
  </si>
  <si>
    <t>EJECUCIÓN OBRAS DE ADECUACIÓN PUESTO DE SALUD DE HIGUERONCITO ADSCRITO AL HOSPITAL DEPARTAMENTAL SAN ANTONIO E.S.E DE ROLDANILLO - RESOLUCIÓN 2422 DE 2024</t>
  </si>
  <si>
    <t>CDP_1311 01/10/2025</t>
  </si>
  <si>
    <t>INTEVENTORÍA TÉCNICA, Y SUPERVISIÓN DE LA ADECUACIÓN PUESTO DE SALUD DE HIGUERONCITO ADSCRITO AL HOSPITAL DEPARTAMENTAL SAN ANTONIO E.S.E DE ROLDANILLO - RESOLUCIÓN 2422 DE 2024 MINSALUD</t>
  </si>
  <si>
    <t>CDP_1312 01/10/2025</t>
  </si>
  <si>
    <t>CNPS-567-2025</t>
  </si>
  <si>
    <t>SERVICIOS PROFESIONALES DE APOYO A LA GESTIÓN ADMINISTRATIVA PARA LA REVISIÓN, ANÁLISIS, CONCILIACIÓN Y RESPUESTA OPORTUNA DE GLOSAS GENERADAS POR LAS ENTIDADES PROMOTORAS DE SALUD (EPS), ASÍ COMO LA IMPLEMENTACIÓN DE ESTRATEGIAS DE MEJORA EN LOS PROCESOS DE FACTURACIÓN, RADICACIÓN Y RECAUDO INSTITUCIONAL, EN EL MARCO DEL FORTALECIMIENTO DEL ÁREA DE FACTURACIÓN Y CARTERA DEL HOSPITAL DEPARTAMENTAL SAN ANTONIO E.S.E. DE ROLDANILLO.</t>
  </si>
  <si>
    <t>JUAN CAMILO VARGAS CARDENAS</t>
  </si>
  <si>
    <t>CNSB-009-2025</t>
  </si>
  <si>
    <t>GESTIÓN INTEGRAL DEL SERVICIO FARMACEUTICO QUE INCLUYE LA ADQUISICION, RECEPCION, ALMACENAMIENTO, DISPENSACION Y SUMINISTRO DE MEDICAMENTOS E INSUMOS MEDICO QUIRURGICOS ADEMAS DE LAS ACCIONES DE COMITÉ DE FARMACIA, FARMACOVIGILANCIA Y TECNOVIGILANCIA DE INSUMOS Y DISPOSITIVOS MEDICOS</t>
  </si>
  <si>
    <t>FUNDACION CIUDAD INTEGRAL - FUNCINTE</t>
  </si>
  <si>
    <t>CDP_1348 31/10/2025</t>
  </si>
  <si>
    <t>CNPS-568-2025</t>
  </si>
  <si>
    <t>CDP_1225 30/09/2025</t>
  </si>
  <si>
    <t>CNPS-569-2025</t>
  </si>
  <si>
    <t>PRESTACIÓN DE SERVICIOS COMO PROFESIONAL ESPECIALISTA EN PSIQUIATRIA EN LA OPERACIÓN DEL EQUIPO BÁSICO DE SALUD TIPO ESPECIALISTA  EN EL FORTALECIMIENTO DE LA GESTIÓN TERRITORIAL BASADA EN ATENCIÓN PRIMARIA EN SALUD - APS EN EL MARCO DE LA IMPLEMENTACIÓN DEL MODELO DE SALUD PREVENTIVO Y PREDICTIVO PARA AVANZAR EN LA GARANTIA DEL DERECHO FUNDAMENTAL A LA SALUD EN LOS MUNICIPIOS DE  ANSERMANUEVO, ARGELIA, EL CAIRO Y EL ÁGUILA, VALLE DEL CAUCA, (RESOLUCION 1008 DE 2025)</t>
  </si>
  <si>
    <t>VICTORIA EUGENIA MONTAÑO</t>
  </si>
  <si>
    <t>CNPS-570-2025</t>
  </si>
  <si>
    <t>PRESTACIÓN DE SERVICIOS DE APOYO EN LA GESTIÓN DE LOS PROCESOS ADMINISTRATIVOS DEL HOSPITAL DEPARTAMENTAL SAN ANTONIO ESE DE ROLDANILLO, EN EL ÁREA DE ALMACÉN, AJUSTADOS A LAS NECESIDADES ESPECÍFICAS DEL ÁREA, CON EL OBJETIVO DE GARANTIZAR EFICIENCIA OPERATIVA Y CUMPLIMIENTO NORMATIVO EN LA PRESTACIÓN DE LOS SERVICIOS INSTITUCIONALES</t>
  </si>
  <si>
    <t>GLORIA ZULEIMA GIRALDO ARBELAEZ</t>
  </si>
  <si>
    <t>CDP_1347 01/09/2025</t>
  </si>
  <si>
    <t>CNPS-571-2025</t>
  </si>
  <si>
    <t>CNPS-572-2025</t>
  </si>
  <si>
    <t>CNPS-573-2025</t>
  </si>
  <si>
    <t>PRESTACIÓN DE SERVICIOS LOGÍSTICOS Y SUMINISTRO DE DOTACIONES INSUMOS MATERIALES DISPOSITIVOS MÉDICOS TECNOLOGÍAS Y DEMÁS ELEMENTOS NECESARIOS PARA LA OPERACIÓN DE LOS EQUIPOS BÁSICOS DE SALUD EN EL FORTALECIMIENTO DE LA GESTIÓN TERRITORIAL BASADA EN ATENCIÓN PRIMARIA EN SALUD - APS EN EL MARCO DE LA IMPLEMENTACIÓN DEL MODELO DE SALUD PREVENTIVO Y PREDICTIVO - RESOLUCIÓN 873 DE 2025</t>
  </si>
  <si>
    <t>CDP_1295 01/10/2025</t>
  </si>
  <si>
    <t>MARIA ALEJANDRA VERGARA PALOMINO</t>
  </si>
  <si>
    <t>CDP_1232 30/09/2025</t>
  </si>
  <si>
    <t>PRESTACIÓN DE SERVICIOS DE APOYO A LA GESTIÓN COMO PROMOTOR DE SALUD EN LA OPERACIÓN DE UNO DE LOS EQUIPOS BÁSICOS DE SALUD, EN EL FORTALECIMIENTO DE LA GESTIÓN TERRITORIAL BASADA EN LA ATENCIÓN PRIMARIA EN SALUD (APS), EN EL MARCO DE LA IMPLEMENTACIÓN DEL MODELO DE SALUD PREVENTIVO Y PREDICTIVO, PARA AVANZAR EN LA GARANTÍA DEL DERECHO FUNDAMENTAL A LA SALUD EN EL MUNICIPIO DE ROLDANILLO, VALLE DEL CAUCA – RESOLUCIÓN 873 DE 2025.</t>
  </si>
  <si>
    <t>PRESTACIÓN DE SERVICIOS COMO PROFESIONAL ESPECIALISTA EN PSIQUIATRÍA  EN LA OPERACIÓN DEL EQUIPO BÁSICO DE SALUD TIPO ESPECIALISTA  EN EL FORTALECIMIENTO DE LA GESTIÓN TERRITORIAL BASADA EN ATENCIÓN PRIMARIA EN SALUD - APS EN EL MARCO DE LA IMPLEMENTACIÓN DEL MODELO DE SALUD PREVENTIVO Y PREDICTIVO PARA AVANZAR EN LA GARANTÍA DEL DERECHO FUNDAMENTAL A LA SALUD EN LOS MUNICIPIOS DE  BOLÍVAR, CAICEDONIA, EL DOVIO Y ROLDANILLO, VALLE DEL CAUCA, (RESOLUCIÓN 1008 DE 2025)</t>
  </si>
  <si>
    <t>CDP_1001 01/09/2025</t>
  </si>
  <si>
    <t>CNPS-574-2025</t>
  </si>
  <si>
    <t>PRESTACIÓN DE SERVICIOS COMO PROFESIONAL EN FISIOTERAPIA EN LA IMPLEMENTACIÓN DEL SERVICIO INTEGRADO DE ATENCIÓN Y PREVENCIÓN DE LA DESNUTRICIÓN DEL ICBF, EN CONCORDANCIA CON LOS SERVICIOS PROPIOS DEL SISTEMA DE SALUD COLOMBIANO PARA EL MANEJO DE LA DESNUTRICION AGUDA MODERADA Y SEVERA, EN EL MARCO DEL CONVENIO INTERADMINISTRATIVO 760092422025 SUSCRITO ENTRE EL HOSPITAL DEPARTAMENTAL SAN ANTONIO DE ROLDANILLO E.S.E. Y EL INSTITUTO COLOMBIANO DE BIENESTAR FAMILIAR – ICBF (COFINANCIACION).</t>
  </si>
  <si>
    <t>CDP_1350 01/11/2025</t>
  </si>
  <si>
    <t>DANIELA ALEJANDRA CORRERA ROJAS</t>
  </si>
  <si>
    <t xml:space="preserve">CNOP-001-2025 CPMC-002-2025 </t>
  </si>
  <si>
    <t>INVERSIONES LITRUPE S.A.S.</t>
  </si>
  <si>
    <t>901161324-1</t>
  </si>
  <si>
    <t>CNPS-575-2025</t>
  </si>
  <si>
    <t>CNPS-576-2025</t>
  </si>
  <si>
    <t>CDP_1370 01/11/2025</t>
  </si>
  <si>
    <t>PRESTACION DE SERVICIOS PROFESIONALES Y/O DE APOYO A LA GESTION COMO PROFESIONAL EN PSICOLOGÍA EN LA OPERACIÓN DE LOS ESQUIPOS BASICOS DE SALUD (EBS) FROTALECIENDO LA ATENCION PRIMARIA EN SALUD (APS) MEDIANTE UN UN MODELO PREVENTIVO, PREDICTIVO Y RESOLUTIVO QUE GARANTICE EL DERECHO FUNDAMENTAL A LA SALUD DE LAS PERSONA FAMILIAS Y COMUNIDADES EN EL MUNICIPIO DE ROLDANILLO CON UN ENFOQUE EN LA ATENCION Y EXPERIENCIA DEL USUARIO, PROPORCIONANDO UN ESTANDAR QUE REGULE Y FACILITE LA RELACION ENTRE EL HOSPITALY LA ATENCION DE LOS USUARIOS AFILIADOS A LAS DIFERENTES EPS</t>
  </si>
  <si>
    <t>PRESTACION DE SERVICIOS PROFESIONALES Y/O DE APOYO A LA GESTION COMO PROFESIONAL EN NUTRICIÓN EN LA OPERACIÓN DE LOS ESQUIPOS BASICOS DE SALUD (EBS) FROTALECIENDO LA ATENCION PRIMARIA EN SALUD (APS) MEDIANTE UN UN MODELO PREVENTIVO, PREDICTIVO Y RESOLUTIVO QUE GARANTICE EL DERECHO FUNDAMENTAL A LA SALUD DE LAS PERSONA FAMILIAS Y COMUNIDADES EN EL MUNICIPIO DE ROLDANILLO CON UN ENFOQUE EN LA ATENCION Y EXPERIENCIA DEL USUARIO, PROPORCIONANDO UN ESTANDAR QUE REGULE Y FACILITE LA RELACION ENTRE EL HOSPITALY LA ATENCION DE LOS USUARIOS AFILIADOS A LAS DIFERENTES EPS</t>
  </si>
  <si>
    <t>MARÍA ALEJANDRA GONZALEZ GARCÍA</t>
  </si>
  <si>
    <t>CDP_1371 01/11/2025</t>
  </si>
  <si>
    <t>ANTONIO JOSÉ JIMENEZ PATIÑO</t>
  </si>
  <si>
    <t>CNSB-010-2025</t>
  </si>
  <si>
    <t>CDP_1378 14/11/2025</t>
  </si>
  <si>
    <t>OCOM-003-2025</t>
  </si>
  <si>
    <t>VITALTECH COLOMBIA S.A.S.</t>
  </si>
  <si>
    <t>901948790-8</t>
  </si>
  <si>
    <t xml:space="preserve">CNCO-004-2025 CPMC-003-2025 </t>
  </si>
  <si>
    <t>CDP_1384</t>
  </si>
  <si>
    <t>CDMIN-039-2025</t>
  </si>
  <si>
    <t>SUMINISTRO DE UNIDADES DE HUEVOS TIPO A, PARA CUBRIR LA EJECUCIÓN DEL PROGRAMA DE SERVICIO INTEGRADO DE ATENCIÓN Y PREVENCIÓN DE LA DESNUTRICIÓN DEL ICBF, EN CONCORDANCIA CON LOS SERVICIOS PROPIOS DEL SISTEMA DE SALUD COLOMBIANO PARA EL MANEJO DE LA DESNUTRICION AGUDA MODERADA Y SEVERA, EN EL MARCO DEL CONVENIO INTERADMINISTRATIVO 760092422025 SUSCRITO ENTRE EL HOSPITAL DEPARTAMENTAL SAN ANTONIO DE ROLDANILLO E.S.E. Y EL INSTITUTO COLOMBIANO DE BIENESTAR FAMILIAR ICBF</t>
  </si>
  <si>
    <t>ESTEPHANIA BRAND SALDARRIAGA</t>
  </si>
  <si>
    <t>CDP_1406 16/11/2025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</si>
</sst>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6" formatCode="d/mm/yyyy;@"/>
  </numFmts>
  <fonts count="1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0"/>
      <name val="Arial"/>
      <family val="2"/>
    </font>
    <font>
      <sz val="11"/>
      <color theme="1"/>
      <name val="Calibri"/>
      <family val="2"/>
      <scheme val="minor"/>
    </font>
    <font>
      <b/>
      <sz val="11"/>
      <color theme="1"/>
      <name val="Calibri"/>
      <family val="2"/>
      <scheme val="minor"/>
    </font>
    <font>
      <sz val="11"/>
      <color theme="1"/>
      <name val="Calibri"/>
      <family val="2"/>
    </font>
    <font>
      <sz val="11"/>
      <name val="Calibri"/>
      <family val="2"/>
      <scheme val="minor"/>
    </font>
  </fonts>
  <fills count="4">
    <fill>
      <patternFill patternType="none"/>
    </fill>
    <fill>
      <patternFill patternType="gray125"/>
    </fill>
    <fill>
      <patternFill patternType="solid">
        <fgColor rgb="FFCCFF33"/>
        <bgColor indexed="64"/>
      </patternFill>
    </fill>
    <fill>
      <patternFill patternType="solid">
        <fgColor theme="0" tint="-0.249977111117893"/>
        <bgColor indexed="64"/>
      </patternFill>
    </fill>
  </fills>
  <borders count="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s>
  <cellStyleXfs count="15">
    <xf numFmtId="0" fontId="0" fillId="0" borderId="0"/>
    <xf numFmtId="0" fontId="9" fillId="0" borderId="0"/>
    <xf numFmtId="0" fontId="9" fillId="0" borderId="0"/>
    <xf numFmtId="0" fontId="10" fillId="0" borderId="0"/>
    <xf numFmtId="0" fontId="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84">
    <xf numFmtId="0" fontId="0" fillId="0" borderId="0" xfId="0"/>
    <xf numFmtId="0" fontId="8" fillId="0" borderId="4" xfId="14" applyFont="1" applyBorder="1" applyAlignment="1">
      <alignment horizontal="center" vertical="center" wrapText="1"/>
    </xf>
    <xf numFmtId="0" fontId="8" fillId="0" borderId="2" xfId="14" applyFont="1" applyBorder="1" applyAlignment="1">
      <alignment horizontal="center" vertical="center" wrapText="1"/>
    </xf>
    <xf numFmtId="14" fontId="8" fillId="0" borderId="2" xfId="14" applyNumberFormat="1" applyFont="1" applyBorder="1" applyAlignment="1">
      <alignment horizontal="center" vertical="center" wrapText="1"/>
    </xf>
    <xf numFmtId="14" fontId="8" fillId="0" borderId="1" xfId="14" applyNumberFormat="1" applyFont="1" applyBorder="1" applyAlignment="1">
      <alignment horizontal="center" vertical="center"/>
    </xf>
    <xf numFmtId="164" fontId="8" fillId="0" borderId="1" xfId="14" applyNumberFormat="1" applyFont="1" applyBorder="1" applyAlignment="1">
      <alignment horizontal="center" vertical="center"/>
    </xf>
    <xf numFmtId="164" fontId="8" fillId="0" borderId="2" xfId="14" applyNumberFormat="1" applyFont="1" applyBorder="1" applyAlignment="1">
      <alignment horizontal="center" vertical="center"/>
    </xf>
    <xf numFmtId="14" fontId="8" fillId="0" borderId="2" xfId="14" applyNumberFormat="1" applyFont="1" applyBorder="1" applyAlignment="1">
      <alignment horizontal="center" vertical="center"/>
    </xf>
    <xf numFmtId="0" fontId="7" fillId="0" borderId="1" xfId="12" applyFont="1" applyBorder="1" applyAlignment="1">
      <alignment horizontal="center" vertical="center" wrapText="1"/>
    </xf>
    <xf numFmtId="0" fontId="12" fillId="0" borderId="2" xfId="0" applyFont="1" applyBorder="1" applyAlignment="1">
      <alignment horizontal="center" vertical="center" wrapText="1"/>
    </xf>
    <xf numFmtId="14" fontId="12" fillId="0" borderId="2" xfId="14" applyNumberFormat="1" applyFont="1" applyBorder="1" applyAlignment="1">
      <alignment horizontal="center" vertical="center"/>
    </xf>
    <xf numFmtId="0" fontId="12" fillId="0" borderId="2" xfId="14" applyFont="1" applyBorder="1" applyAlignment="1">
      <alignment horizontal="center" vertical="center" wrapText="1"/>
    </xf>
    <xf numFmtId="0" fontId="12" fillId="0" borderId="2" xfId="14" applyFont="1" applyBorder="1" applyAlignment="1">
      <alignment horizontal="center" vertical="center"/>
    </xf>
    <xf numFmtId="164" fontId="12" fillId="0" borderId="2" xfId="14" applyNumberFormat="1" applyFont="1" applyBorder="1" applyAlignment="1">
      <alignment horizontal="center" vertical="center"/>
    </xf>
    <xf numFmtId="14" fontId="12" fillId="0" borderId="1" xfId="14" applyNumberFormat="1" applyFont="1" applyBorder="1" applyAlignment="1">
      <alignment horizontal="center" vertical="center"/>
    </xf>
    <xf numFmtId="0" fontId="12" fillId="0" borderId="1" xfId="14" applyFont="1" applyBorder="1" applyAlignment="1">
      <alignment horizontal="center" vertical="center" wrapText="1"/>
    </xf>
    <xf numFmtId="0" fontId="12" fillId="0" borderId="1" xfId="14" applyFont="1" applyBorder="1" applyAlignment="1">
      <alignment horizontal="center" vertical="center"/>
    </xf>
    <xf numFmtId="0" fontId="11" fillId="3" borderId="2" xfId="5" applyFont="1" applyFill="1" applyBorder="1" applyAlignment="1">
      <alignment horizontal="center" vertical="center" wrapText="1"/>
    </xf>
    <xf numFmtId="0" fontId="11" fillId="0" borderId="0" xfId="5" applyFont="1"/>
    <xf numFmtId="0" fontId="7" fillId="0" borderId="2" xfId="5"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1" xfId="5" applyFont="1" applyBorder="1" applyAlignment="1">
      <alignment horizontal="center" vertical="center" wrapText="1"/>
    </xf>
    <xf numFmtId="0" fontId="7" fillId="0" borderId="1" xfId="5" applyFont="1" applyBorder="1" applyAlignment="1">
      <alignment horizontal="center" vertical="center"/>
    </xf>
    <xf numFmtId="14" fontId="7" fillId="0" borderId="2" xfId="5" applyNumberFormat="1" applyFont="1" applyBorder="1" applyAlignment="1">
      <alignment horizontal="center" vertical="center"/>
    </xf>
    <xf numFmtId="164" fontId="7" fillId="0" borderId="2" xfId="5" applyNumberFormat="1" applyFont="1" applyBorder="1" applyAlignment="1">
      <alignment horizontal="center" vertical="center"/>
    </xf>
    <xf numFmtId="14" fontId="7" fillId="0" borderId="2" xfId="5" applyNumberFormat="1" applyFont="1" applyBorder="1" applyAlignment="1">
      <alignment horizontal="center" vertical="center" wrapText="1"/>
    </xf>
    <xf numFmtId="0" fontId="7" fillId="0" borderId="2" xfId="5" applyFont="1" applyBorder="1" applyAlignment="1">
      <alignment horizontal="center" vertical="center"/>
    </xf>
    <xf numFmtId="0" fontId="7" fillId="0" borderId="2" xfId="5" applyFont="1" applyBorder="1"/>
    <xf numFmtId="0" fontId="7" fillId="0" borderId="0" xfId="5" applyFont="1"/>
    <xf numFmtId="0" fontId="7" fillId="0" borderId="1" xfId="0" applyFont="1" applyBorder="1" applyAlignment="1">
      <alignment horizontal="center" vertical="center" wrapText="1"/>
    </xf>
    <xf numFmtId="14" fontId="13" fillId="0" borderId="2" xfId="5" applyNumberFormat="1" applyFont="1" applyBorder="1" applyAlignment="1">
      <alignment horizontal="center" vertical="center"/>
    </xf>
    <xf numFmtId="14" fontId="7" fillId="0" borderId="1" xfId="5" applyNumberFormat="1" applyFont="1" applyBorder="1" applyAlignment="1">
      <alignment horizontal="center" vertical="center"/>
    </xf>
    <xf numFmtId="0" fontId="7" fillId="0" borderId="2" xfId="1" applyFont="1" applyBorder="1" applyAlignment="1">
      <alignment horizontal="center" vertical="center" wrapText="1"/>
    </xf>
    <xf numFmtId="0" fontId="7" fillId="0" borderId="2" xfId="1" applyFont="1" applyBorder="1" applyAlignment="1">
      <alignment horizontal="center" vertical="center"/>
    </xf>
    <xf numFmtId="0" fontId="7" fillId="0" borderId="2" xfId="10" applyFont="1" applyBorder="1" applyAlignment="1">
      <alignment horizontal="center" vertical="center" wrapText="1"/>
    </xf>
    <xf numFmtId="0" fontId="7" fillId="0" borderId="2" xfId="10" applyFont="1" applyBorder="1" applyAlignment="1">
      <alignment horizontal="center" vertical="center"/>
    </xf>
    <xf numFmtId="0" fontId="7" fillId="0" borderId="1" xfId="0" applyFont="1" applyBorder="1" applyAlignment="1">
      <alignment horizontal="center" vertical="center"/>
    </xf>
    <xf numFmtId="0" fontId="13" fillId="0" borderId="2" xfId="0" applyFont="1" applyBorder="1" applyAlignment="1">
      <alignment horizontal="center" vertical="center" wrapText="1"/>
    </xf>
    <xf numFmtId="0" fontId="7" fillId="0" borderId="1" xfId="1" applyFont="1" applyBorder="1" applyAlignment="1">
      <alignment horizontal="center" vertical="center" wrapText="1"/>
    </xf>
    <xf numFmtId="0" fontId="7" fillId="0" borderId="1" xfId="10" applyFont="1" applyBorder="1" applyAlignment="1">
      <alignment horizontal="center" vertical="center"/>
    </xf>
    <xf numFmtId="164" fontId="7" fillId="0" borderId="1" xfId="5" applyNumberFormat="1" applyFont="1" applyBorder="1" applyAlignment="1">
      <alignment horizontal="center" vertical="center"/>
    </xf>
    <xf numFmtId="0" fontId="7" fillId="0" borderId="1" xfId="10" applyFont="1" applyBorder="1" applyAlignment="1">
      <alignment horizontal="center" vertical="center" wrapText="1"/>
    </xf>
    <xf numFmtId="0" fontId="7" fillId="0" borderId="2" xfId="12" applyFont="1" applyBorder="1" applyAlignment="1">
      <alignment horizontal="center" vertical="center" wrapText="1"/>
    </xf>
    <xf numFmtId="14" fontId="7" fillId="2" borderId="2" xfId="5" applyNumberFormat="1" applyFont="1" applyFill="1" applyBorder="1" applyAlignment="1">
      <alignment horizontal="center" vertical="center"/>
    </xf>
    <xf numFmtId="166" fontId="7" fillId="0" borderId="2" xfId="5" applyNumberFormat="1" applyFont="1" applyBorder="1" applyAlignment="1">
      <alignment horizontal="center" vertical="center"/>
    </xf>
    <xf numFmtId="0" fontId="7" fillId="0" borderId="5" xfId="5" applyFont="1" applyBorder="1"/>
    <xf numFmtId="14" fontId="13" fillId="0" borderId="1" xfId="5" applyNumberFormat="1" applyFont="1" applyBorder="1" applyAlignment="1">
      <alignment horizontal="center" vertical="center"/>
    </xf>
    <xf numFmtId="0" fontId="7" fillId="0" borderId="1" xfId="5" applyFont="1" applyBorder="1"/>
    <xf numFmtId="0" fontId="13" fillId="0" borderId="2" xfId="5" applyFont="1" applyBorder="1" applyAlignment="1">
      <alignment horizontal="center" vertical="center" wrapText="1"/>
    </xf>
    <xf numFmtId="0" fontId="13" fillId="0" borderId="2" xfId="5" applyFont="1" applyBorder="1" applyAlignment="1">
      <alignment horizontal="center" vertical="center"/>
    </xf>
    <xf numFmtId="0" fontId="13" fillId="0" borderId="1" xfId="5" applyFont="1" applyBorder="1" applyAlignment="1">
      <alignment horizontal="center" vertical="center" wrapText="1"/>
    </xf>
    <xf numFmtId="0" fontId="13" fillId="0" borderId="2" xfId="10" applyFont="1" applyBorder="1" applyAlignment="1">
      <alignment horizontal="center" vertical="center"/>
    </xf>
    <xf numFmtId="0" fontId="7" fillId="0" borderId="2" xfId="3" applyFont="1" applyBorder="1" applyAlignment="1">
      <alignment horizontal="center" vertical="center" wrapText="1"/>
    </xf>
    <xf numFmtId="0" fontId="7" fillId="0" borderId="2" xfId="2" applyFont="1" applyBorder="1" applyAlignment="1">
      <alignment horizontal="center" vertical="center" wrapText="1"/>
    </xf>
    <xf numFmtId="0" fontId="7" fillId="0" borderId="2" xfId="11" applyFont="1" applyBorder="1" applyAlignment="1">
      <alignment horizontal="center" vertical="center"/>
    </xf>
    <xf numFmtId="14" fontId="7" fillId="0" borderId="2" xfId="12" applyNumberFormat="1" applyFont="1" applyBorder="1" applyAlignment="1">
      <alignment horizontal="center" vertical="center"/>
    </xf>
    <xf numFmtId="164" fontId="7" fillId="0" borderId="2" xfId="12" applyNumberFormat="1" applyFont="1" applyBorder="1" applyAlignment="1">
      <alignment horizontal="center" vertical="center"/>
    </xf>
    <xf numFmtId="14" fontId="7" fillId="0" borderId="1" xfId="12" applyNumberFormat="1" applyFont="1" applyBorder="1" applyAlignment="1">
      <alignment horizontal="center" vertical="center"/>
    </xf>
    <xf numFmtId="0" fontId="7" fillId="0" borderId="2" xfId="14" applyFont="1" applyBorder="1" applyAlignment="1">
      <alignment horizontal="center" vertical="center" wrapText="1"/>
    </xf>
    <xf numFmtId="0" fontId="7" fillId="0" borderId="2" xfId="14" applyFont="1" applyBorder="1" applyAlignment="1">
      <alignment horizontal="center" vertical="center"/>
    </xf>
    <xf numFmtId="0" fontId="7" fillId="0" borderId="1" xfId="14" applyFont="1" applyBorder="1" applyAlignment="1">
      <alignment horizontal="center" vertical="center" wrapText="1"/>
    </xf>
    <xf numFmtId="0" fontId="7" fillId="0" borderId="1" xfId="14" applyFont="1" applyBorder="1" applyAlignment="1">
      <alignment horizontal="center" vertical="center"/>
    </xf>
    <xf numFmtId="164" fontId="7" fillId="0" borderId="1" xfId="12" applyNumberFormat="1" applyFont="1" applyBorder="1" applyAlignment="1">
      <alignment horizontal="center" vertical="center"/>
    </xf>
    <xf numFmtId="0" fontId="7" fillId="0" borderId="3" xfId="14" applyFont="1" applyBorder="1" applyAlignment="1">
      <alignment horizontal="center" vertical="center" wrapText="1"/>
    </xf>
    <xf numFmtId="14" fontId="7" fillId="0" borderId="2" xfId="14" applyNumberFormat="1" applyFont="1" applyBorder="1" applyAlignment="1">
      <alignment horizontal="center" vertical="center"/>
    </xf>
    <xf numFmtId="164" fontId="7" fillId="0" borderId="2" xfId="14" applyNumberFormat="1" applyFont="1" applyBorder="1" applyAlignment="1">
      <alignment horizontal="center" vertical="center"/>
    </xf>
    <xf numFmtId="14" fontId="7" fillId="0" borderId="2" xfId="0" applyNumberFormat="1" applyFont="1" applyBorder="1" applyAlignment="1">
      <alignment horizontal="center" vertical="center"/>
    </xf>
    <xf numFmtId="0" fontId="6" fillId="0" borderId="2" xfId="5" applyFont="1" applyBorder="1" applyAlignment="1">
      <alignment horizontal="center" vertical="center" wrapText="1"/>
    </xf>
    <xf numFmtId="0" fontId="8" fillId="0" borderId="2" xfId="0" applyFont="1" applyBorder="1" applyAlignment="1">
      <alignment horizontal="center" vertical="center" wrapText="1"/>
    </xf>
    <xf numFmtId="0" fontId="5" fillId="0" borderId="2" xfId="5" applyFont="1" applyBorder="1" applyAlignment="1">
      <alignment horizontal="center" vertical="center" wrapText="1"/>
    </xf>
    <xf numFmtId="0" fontId="5" fillId="0" borderId="2" xfId="0" applyFont="1" applyBorder="1" applyAlignment="1">
      <alignment horizontal="center" vertical="center" wrapText="1"/>
    </xf>
    <xf numFmtId="0" fontId="4" fillId="0" borderId="2" xfId="14" applyFont="1" applyBorder="1" applyAlignment="1">
      <alignment horizontal="center" vertical="center" wrapText="1"/>
    </xf>
    <xf numFmtId="0" fontId="3" fillId="0" borderId="2" xfId="12" applyFont="1" applyBorder="1" applyAlignment="1">
      <alignment horizontal="center" vertical="center" wrapText="1"/>
    </xf>
    <xf numFmtId="0" fontId="3" fillId="0" borderId="2" xfId="14" applyFont="1" applyBorder="1" applyAlignment="1">
      <alignment horizontal="center" vertical="center" wrapText="1"/>
    </xf>
    <xf numFmtId="0" fontId="3" fillId="0" borderId="2" xfId="3" applyFont="1" applyBorder="1" applyAlignment="1">
      <alignment horizontal="center" vertical="center" wrapText="1"/>
    </xf>
    <xf numFmtId="14" fontId="8" fillId="0" borderId="1" xfId="14"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2" xfId="5" applyFont="1" applyBorder="1" applyAlignment="1">
      <alignment horizontal="center" vertical="center"/>
    </xf>
    <xf numFmtId="0" fontId="7" fillId="0" borderId="4" xfId="14" applyFont="1" applyBorder="1" applyAlignment="1">
      <alignment horizontal="center" vertical="center" wrapText="1"/>
    </xf>
    <xf numFmtId="0" fontId="12" fillId="0" borderId="4" xfId="0" applyFont="1" applyBorder="1" applyAlignment="1">
      <alignment horizontal="center" vertical="center" wrapText="1"/>
    </xf>
    <xf numFmtId="14" fontId="7" fillId="0" borderId="1" xfId="14" applyNumberFormat="1" applyFont="1" applyBorder="1" applyAlignment="1">
      <alignment horizontal="center" vertical="center"/>
    </xf>
    <xf numFmtId="0" fontId="8" fillId="0" borderId="2" xfId="14" applyFont="1" applyFill="1" applyBorder="1" applyAlignment="1">
      <alignment horizontal="center" vertical="center" wrapText="1"/>
    </xf>
    <xf numFmtId="0" fontId="1" fillId="0" borderId="2" xfId="0" applyFont="1" applyBorder="1" applyAlignment="1">
      <alignment horizontal="center" vertical="center" wrapText="1"/>
    </xf>
  </cellXfs>
  <cellStyles count="15">
    <cellStyle name="Normal" xfId="0" builtinId="0"/>
    <cellStyle name="Normal 2" xfId="1" xr:uid="{00000000-0005-0000-0000-000031000000}"/>
    <cellStyle name="Normal 2 2" xfId="2" xr:uid="{00000000-0005-0000-0000-000032000000}"/>
    <cellStyle name="Normal 2 3" xfId="3" xr:uid="{00000000-0005-0000-0000-000033000000}"/>
    <cellStyle name="Normal 3" xfId="4" xr:uid="{00000000-0005-0000-0000-000034000000}"/>
    <cellStyle name="Normal 4" xfId="5" xr:uid="{00000000-0005-0000-0000-000035000000}"/>
    <cellStyle name="Normal 4 2" xfId="6" xr:uid="{00000000-0005-0000-0000-000036000000}"/>
    <cellStyle name="Normal 4 2 2" xfId="7" xr:uid="{00000000-0005-0000-0000-000037000000}"/>
    <cellStyle name="Normal 4 3" xfId="8" xr:uid="{00000000-0005-0000-0000-000038000000}"/>
    <cellStyle name="Normal 4 3 2" xfId="9" xr:uid="{00000000-0005-0000-0000-000039000000}"/>
    <cellStyle name="Normal 4 4" xfId="10" xr:uid="{00000000-0005-0000-0000-00003A000000}"/>
    <cellStyle name="Normal 4 4 2" xfId="11" xr:uid="{00000000-0005-0000-0000-00003B000000}"/>
    <cellStyle name="Normal 4 5" xfId="12" xr:uid="{00000000-0005-0000-0000-00003C000000}"/>
    <cellStyle name="Normal 4 5 2" xfId="13" xr:uid="{00000000-0005-0000-0000-00003D000000}"/>
    <cellStyle name="Normal 5" xfId="14" xr:uid="{00000000-0005-0000-0000-00003E000000}"/>
  </cellStyles>
  <dxfs count="0"/>
  <tableStyles count="0" defaultTableStyle="TableStyleMedium2" defaultPivotStyle="PivotStyleLight16"/>
  <colors>
    <mruColors>
      <color rgb="FFCCFF33"/>
      <color rgb="FFCC99FF"/>
      <color rgb="FFFFCCFF"/>
      <color rgb="FF00FFFF"/>
      <color rgb="FFE4C9FF"/>
      <color rgb="FF3F6DC1"/>
      <color rgb="FF547DC8"/>
      <color rgb="FF8668F2"/>
      <color rgb="FFFFEBFF"/>
      <color rgb="FFFFF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CC"/>
  </sheetPr>
  <dimension ref="A1:BO644"/>
  <sheetViews>
    <sheetView tabSelected="1" view="pageBreakPreview" zoomScale="70" zoomScaleNormal="70" zoomScaleSheetLayoutView="70" workbookViewId="0">
      <pane ySplit="1" topLeftCell="A637" activePane="bottomLeft" state="frozen"/>
      <selection pane="bottomLeft" activeCell="C641" sqref="C641"/>
    </sheetView>
  </sheetViews>
  <sheetFormatPr baseColWidth="10" defaultColWidth="11.42578125" defaultRowHeight="67.5" customHeight="1"/>
  <cols>
    <col min="1" max="1" width="14.5703125" style="29" customWidth="1"/>
    <col min="2" max="2" width="60" style="29" customWidth="1"/>
    <col min="3" max="3" width="46.28515625" style="29" customWidth="1"/>
    <col min="4" max="4" width="16.28515625" style="29" customWidth="1"/>
    <col min="5" max="5" width="18.28515625" style="29" customWidth="1"/>
    <col min="6" max="6" width="13.42578125" style="29" customWidth="1"/>
    <col min="7" max="7" width="14.5703125" style="29" customWidth="1"/>
    <col min="8" max="8" width="14" style="29" customWidth="1"/>
    <col min="9" max="10" width="14.85546875" style="29" customWidth="1"/>
    <col min="11" max="11" width="20.28515625" style="29" customWidth="1"/>
    <col min="12" max="12" width="16.85546875" style="29" customWidth="1"/>
    <col min="13" max="13" width="19" style="29" customWidth="1"/>
    <col min="14" max="14" width="18.85546875" style="29" customWidth="1"/>
    <col min="15" max="15" width="14" style="29" customWidth="1"/>
    <col min="16" max="16" width="12.5703125" style="29" customWidth="1"/>
    <col min="17" max="16384" width="11.42578125" style="29"/>
  </cols>
  <sheetData>
    <row r="1" spans="1:16" s="18" customFormat="1" ht="67.5" customHeight="1">
      <c r="A1" s="17" t="s">
        <v>0</v>
      </c>
      <c r="B1" s="17" t="s">
        <v>1</v>
      </c>
      <c r="C1" s="17" t="s">
        <v>2</v>
      </c>
      <c r="D1" s="17" t="s">
        <v>3</v>
      </c>
      <c r="E1" s="17" t="s">
        <v>351</v>
      </c>
      <c r="F1" s="17" t="s">
        <v>520</v>
      </c>
      <c r="G1" s="17" t="s">
        <v>521</v>
      </c>
      <c r="H1" s="17" t="s">
        <v>516</v>
      </c>
      <c r="I1" s="17" t="s">
        <v>522</v>
      </c>
      <c r="J1" s="17" t="s">
        <v>517</v>
      </c>
      <c r="K1" s="17" t="s">
        <v>518</v>
      </c>
      <c r="L1" s="17" t="s">
        <v>523</v>
      </c>
      <c r="M1" s="17" t="s">
        <v>519</v>
      </c>
      <c r="N1" s="17" t="s">
        <v>524</v>
      </c>
      <c r="O1" s="17" t="s">
        <v>525</v>
      </c>
      <c r="P1" s="17" t="s">
        <v>526</v>
      </c>
    </row>
    <row r="2" spans="1:16" s="18" customFormat="1" ht="67.5" customHeight="1">
      <c r="A2" s="19" t="s">
        <v>527</v>
      </c>
      <c r="B2" s="20" t="s">
        <v>421</v>
      </c>
      <c r="C2" s="20" t="s">
        <v>422</v>
      </c>
      <c r="D2" s="20">
        <v>6441929</v>
      </c>
      <c r="E2" s="20" t="s">
        <v>361</v>
      </c>
      <c r="F2" s="19" t="s">
        <v>528</v>
      </c>
      <c r="G2" s="22" t="s">
        <v>529</v>
      </c>
      <c r="H2" s="24">
        <v>45665</v>
      </c>
      <c r="I2" s="24">
        <v>45838</v>
      </c>
      <c r="J2" s="24">
        <v>45853</v>
      </c>
      <c r="K2" s="25">
        <v>71000000</v>
      </c>
      <c r="L2" s="25">
        <v>35500000</v>
      </c>
      <c r="M2" s="25">
        <f>K2+L2</f>
        <v>106500000</v>
      </c>
      <c r="N2" s="26" t="s">
        <v>531</v>
      </c>
      <c r="O2" s="27" t="s">
        <v>532</v>
      </c>
      <c r="P2" s="23" t="s">
        <v>533</v>
      </c>
    </row>
    <row r="3" spans="1:16" ht="67.5" customHeight="1">
      <c r="A3" s="19" t="s">
        <v>534</v>
      </c>
      <c r="B3" s="20" t="s">
        <v>496</v>
      </c>
      <c r="C3" s="20" t="s">
        <v>497</v>
      </c>
      <c r="D3" s="20">
        <v>66702194</v>
      </c>
      <c r="E3" s="20" t="s">
        <v>361</v>
      </c>
      <c r="F3" s="19" t="s">
        <v>535</v>
      </c>
      <c r="G3" s="22" t="s">
        <v>536</v>
      </c>
      <c r="H3" s="24">
        <v>45677</v>
      </c>
      <c r="I3" s="24">
        <v>46022</v>
      </c>
      <c r="J3" s="24">
        <v>46022</v>
      </c>
      <c r="K3" s="25">
        <v>5429796</v>
      </c>
      <c r="L3" s="28"/>
      <c r="M3" s="25">
        <v>5429796</v>
      </c>
      <c r="N3" s="28"/>
      <c r="O3" s="28"/>
      <c r="P3" s="28"/>
    </row>
    <row r="4" spans="1:16" ht="67.5" customHeight="1">
      <c r="A4" s="19" t="s">
        <v>537</v>
      </c>
      <c r="B4" s="20" t="s">
        <v>514</v>
      </c>
      <c r="C4" s="20" t="s">
        <v>513</v>
      </c>
      <c r="D4" s="20">
        <v>16551839</v>
      </c>
      <c r="E4" s="20" t="s">
        <v>470</v>
      </c>
      <c r="F4" s="19" t="s">
        <v>538</v>
      </c>
      <c r="G4" s="22" t="s">
        <v>539</v>
      </c>
      <c r="H4" s="24">
        <v>45678</v>
      </c>
      <c r="I4" s="24">
        <v>46022</v>
      </c>
      <c r="J4" s="24">
        <v>46022</v>
      </c>
      <c r="K4" s="25">
        <v>26500000</v>
      </c>
      <c r="L4" s="28"/>
      <c r="M4" s="25">
        <v>26500000</v>
      </c>
      <c r="N4" s="28"/>
      <c r="O4" s="28"/>
      <c r="P4" s="28"/>
    </row>
    <row r="5" spans="1:16" ht="67.5" customHeight="1">
      <c r="A5" s="19" t="s">
        <v>540</v>
      </c>
      <c r="B5" s="20" t="s">
        <v>483</v>
      </c>
      <c r="C5" s="20" t="s">
        <v>484</v>
      </c>
      <c r="D5" s="21" t="s">
        <v>485</v>
      </c>
      <c r="E5" s="20" t="s">
        <v>361</v>
      </c>
      <c r="F5" s="19" t="s">
        <v>541</v>
      </c>
      <c r="G5" s="22" t="s">
        <v>542</v>
      </c>
      <c r="H5" s="31">
        <v>45702</v>
      </c>
      <c r="I5" s="24">
        <v>46022</v>
      </c>
      <c r="J5" s="24">
        <v>46022</v>
      </c>
      <c r="K5" s="25">
        <v>9000000</v>
      </c>
      <c r="L5" s="25">
        <v>4500000</v>
      </c>
      <c r="M5" s="25">
        <f>9000000+L5</f>
        <v>13500000</v>
      </c>
      <c r="N5" s="26">
        <v>45919</v>
      </c>
      <c r="O5" s="21" t="s">
        <v>543</v>
      </c>
      <c r="P5" s="21" t="s">
        <v>544</v>
      </c>
    </row>
    <row r="6" spans="1:16" ht="67.5" customHeight="1">
      <c r="A6" s="19" t="s">
        <v>545</v>
      </c>
      <c r="B6" s="20" t="s">
        <v>435</v>
      </c>
      <c r="C6" s="30" t="s">
        <v>436</v>
      </c>
      <c r="D6" s="20" t="s">
        <v>437</v>
      </c>
      <c r="E6" s="20" t="s">
        <v>361</v>
      </c>
      <c r="F6" s="19" t="s">
        <v>546</v>
      </c>
      <c r="G6" s="22" t="s">
        <v>547</v>
      </c>
      <c r="H6" s="31">
        <v>45707</v>
      </c>
      <c r="I6" s="24">
        <v>45900</v>
      </c>
      <c r="J6" s="24">
        <v>46022</v>
      </c>
      <c r="K6" s="25">
        <v>57400000</v>
      </c>
      <c r="L6" s="28"/>
      <c r="M6" s="25">
        <v>57400000</v>
      </c>
      <c r="N6" s="26">
        <v>45894</v>
      </c>
      <c r="O6" s="28"/>
      <c r="P6" s="28"/>
    </row>
    <row r="7" spans="1:16" ht="67.5" customHeight="1">
      <c r="A7" s="19" t="s">
        <v>548</v>
      </c>
      <c r="B7" s="20" t="s">
        <v>363</v>
      </c>
      <c r="C7" s="20" t="s">
        <v>364</v>
      </c>
      <c r="D7" s="20" t="s">
        <v>365</v>
      </c>
      <c r="E7" s="20" t="s">
        <v>361</v>
      </c>
      <c r="F7" s="19" t="s">
        <v>549</v>
      </c>
      <c r="G7" s="22" t="s">
        <v>550</v>
      </c>
      <c r="H7" s="24">
        <v>45712</v>
      </c>
      <c r="I7" s="24">
        <v>45900</v>
      </c>
      <c r="J7" s="24">
        <v>46022</v>
      </c>
      <c r="K7" s="25">
        <v>66000000</v>
      </c>
      <c r="L7" s="25">
        <v>33000000</v>
      </c>
      <c r="M7" s="25">
        <f>66000000+L7</f>
        <v>99000000</v>
      </c>
      <c r="N7" s="26">
        <v>45894</v>
      </c>
      <c r="O7" s="27" t="s">
        <v>551</v>
      </c>
      <c r="P7" s="27" t="s">
        <v>552</v>
      </c>
    </row>
    <row r="8" spans="1:16" ht="67.5" customHeight="1">
      <c r="A8" s="19" t="s">
        <v>553</v>
      </c>
      <c r="B8" s="20" t="s">
        <v>403</v>
      </c>
      <c r="C8" s="20" t="s">
        <v>401</v>
      </c>
      <c r="D8" s="21" t="s">
        <v>402</v>
      </c>
      <c r="E8" s="20" t="s">
        <v>361</v>
      </c>
      <c r="F8" s="19" t="s">
        <v>554</v>
      </c>
      <c r="G8" s="22" t="s">
        <v>555</v>
      </c>
      <c r="H8" s="24">
        <v>45712</v>
      </c>
      <c r="I8" s="24">
        <v>46022</v>
      </c>
      <c r="J8" s="24">
        <v>46022</v>
      </c>
      <c r="K8" s="25">
        <v>60000000</v>
      </c>
      <c r="L8" s="28"/>
      <c r="M8" s="25">
        <v>60000000</v>
      </c>
      <c r="N8" s="28"/>
      <c r="O8" s="28"/>
      <c r="P8" s="28"/>
    </row>
    <row r="9" spans="1:16" ht="67.5" customHeight="1">
      <c r="A9" s="19" t="s">
        <v>556</v>
      </c>
      <c r="B9" s="20" t="s">
        <v>506</v>
      </c>
      <c r="C9" s="33" t="s">
        <v>507</v>
      </c>
      <c r="D9" s="34" t="s">
        <v>508</v>
      </c>
      <c r="E9" s="20" t="s">
        <v>361</v>
      </c>
      <c r="F9" s="19" t="s">
        <v>557</v>
      </c>
      <c r="G9" s="22" t="s">
        <v>558</v>
      </c>
      <c r="H9" s="24">
        <v>45713</v>
      </c>
      <c r="I9" s="24">
        <v>45900</v>
      </c>
      <c r="J9" s="24">
        <v>46022</v>
      </c>
      <c r="K9" s="25">
        <v>56500000</v>
      </c>
      <c r="L9" s="25">
        <v>28250000</v>
      </c>
      <c r="M9" s="25">
        <f>56500000+L9</f>
        <v>84750000</v>
      </c>
      <c r="N9" s="26">
        <v>45896</v>
      </c>
      <c r="O9" s="27" t="s">
        <v>559</v>
      </c>
      <c r="P9" s="27" t="s">
        <v>560</v>
      </c>
    </row>
    <row r="10" spans="1:16" ht="67.5" customHeight="1">
      <c r="A10" s="19" t="s">
        <v>561</v>
      </c>
      <c r="B10" s="20" t="s">
        <v>562</v>
      </c>
      <c r="C10" s="20" t="s">
        <v>563</v>
      </c>
      <c r="D10" s="21" t="s">
        <v>564</v>
      </c>
      <c r="E10" s="20" t="s">
        <v>361</v>
      </c>
      <c r="F10" s="19" t="s">
        <v>565</v>
      </c>
      <c r="G10" s="22" t="s">
        <v>566</v>
      </c>
      <c r="H10" s="24">
        <v>45713</v>
      </c>
      <c r="I10" s="24">
        <v>45900</v>
      </c>
      <c r="J10" s="24">
        <v>46022</v>
      </c>
      <c r="K10" s="25">
        <v>56500000</v>
      </c>
      <c r="L10" s="28"/>
      <c r="M10" s="25">
        <v>56500000</v>
      </c>
      <c r="N10" s="26">
        <v>45894</v>
      </c>
      <c r="O10" s="28"/>
      <c r="P10" s="28"/>
    </row>
    <row r="11" spans="1:16" ht="67.5" customHeight="1">
      <c r="A11" s="19" t="s">
        <v>567</v>
      </c>
      <c r="B11" s="20" t="s">
        <v>386</v>
      </c>
      <c r="C11" s="35" t="s">
        <v>387</v>
      </c>
      <c r="D11" s="36" t="s">
        <v>388</v>
      </c>
      <c r="E11" s="20" t="s">
        <v>361</v>
      </c>
      <c r="F11" s="19" t="s">
        <v>568</v>
      </c>
      <c r="G11" s="22" t="s">
        <v>569</v>
      </c>
      <c r="H11" s="24">
        <v>45714</v>
      </c>
      <c r="I11" s="24">
        <v>46022</v>
      </c>
      <c r="J11" s="24">
        <v>46022</v>
      </c>
      <c r="K11" s="25">
        <v>4000000</v>
      </c>
      <c r="L11" s="28"/>
      <c r="M11" s="25">
        <v>4000000</v>
      </c>
      <c r="N11" s="28"/>
      <c r="O11" s="28"/>
      <c r="P11" s="28"/>
    </row>
    <row r="12" spans="1:16" ht="67.5" customHeight="1">
      <c r="A12" s="19" t="s">
        <v>570</v>
      </c>
      <c r="B12" s="30" t="s">
        <v>571</v>
      </c>
      <c r="C12" s="30" t="s">
        <v>401</v>
      </c>
      <c r="D12" s="37" t="s">
        <v>402</v>
      </c>
      <c r="E12" s="30" t="s">
        <v>361</v>
      </c>
      <c r="F12" s="19" t="s">
        <v>572</v>
      </c>
      <c r="G12" s="22" t="s">
        <v>573</v>
      </c>
      <c r="H12" s="24">
        <v>45714</v>
      </c>
      <c r="I12" s="24">
        <v>46022</v>
      </c>
      <c r="J12" s="24">
        <v>46022</v>
      </c>
      <c r="K12" s="25">
        <v>12500000</v>
      </c>
      <c r="L12" s="28"/>
      <c r="M12" s="25">
        <v>12500000</v>
      </c>
      <c r="N12" s="28"/>
      <c r="O12" s="28"/>
      <c r="P12" s="28"/>
    </row>
    <row r="13" spans="1:16" ht="67.5" customHeight="1">
      <c r="A13" s="19" t="s">
        <v>574</v>
      </c>
      <c r="B13" s="20" t="s">
        <v>374</v>
      </c>
      <c r="C13" s="20" t="s">
        <v>375</v>
      </c>
      <c r="D13" s="20" t="s">
        <v>376</v>
      </c>
      <c r="E13" s="20" t="s">
        <v>353</v>
      </c>
      <c r="F13" s="19" t="s">
        <v>575</v>
      </c>
      <c r="G13" s="22" t="s">
        <v>576</v>
      </c>
      <c r="H13" s="24">
        <v>45714</v>
      </c>
      <c r="I13" s="24">
        <v>45747</v>
      </c>
      <c r="J13" s="24" t="s">
        <v>577</v>
      </c>
      <c r="K13" s="25">
        <v>53737361</v>
      </c>
      <c r="L13" s="28"/>
      <c r="M13" s="25">
        <v>53737361</v>
      </c>
      <c r="N13" s="24">
        <v>45746</v>
      </c>
      <c r="O13" s="28"/>
      <c r="P13" s="28"/>
    </row>
    <row r="14" spans="1:16" ht="67.5" customHeight="1">
      <c r="A14" s="19" t="s">
        <v>578</v>
      </c>
      <c r="B14" s="30" t="s">
        <v>489</v>
      </c>
      <c r="C14" s="20" t="s">
        <v>490</v>
      </c>
      <c r="D14" s="20" t="s">
        <v>491</v>
      </c>
      <c r="E14" s="20" t="s">
        <v>361</v>
      </c>
      <c r="F14" s="19" t="s">
        <v>579</v>
      </c>
      <c r="G14" s="22" t="s">
        <v>580</v>
      </c>
      <c r="H14" s="24">
        <v>45715</v>
      </c>
      <c r="I14" s="24">
        <v>45747</v>
      </c>
      <c r="J14" s="24">
        <v>45747</v>
      </c>
      <c r="K14" s="25">
        <v>6080900</v>
      </c>
      <c r="L14" s="28"/>
      <c r="M14" s="25">
        <v>6080900</v>
      </c>
      <c r="N14" s="28"/>
      <c r="O14" s="28"/>
      <c r="P14" s="28"/>
    </row>
    <row r="15" spans="1:16" ht="67.5" customHeight="1">
      <c r="A15" s="19" t="s">
        <v>581</v>
      </c>
      <c r="B15" s="30" t="s">
        <v>582</v>
      </c>
      <c r="C15" s="33" t="s">
        <v>471</v>
      </c>
      <c r="D15" s="36" t="s">
        <v>472</v>
      </c>
      <c r="E15" s="20" t="s">
        <v>361</v>
      </c>
      <c r="F15" s="19" t="s">
        <v>583</v>
      </c>
      <c r="G15" s="22" t="s">
        <v>584</v>
      </c>
      <c r="H15" s="24">
        <v>45728</v>
      </c>
      <c r="I15" s="24">
        <v>45759</v>
      </c>
      <c r="J15" s="24">
        <v>45777</v>
      </c>
      <c r="K15" s="25">
        <v>51186422</v>
      </c>
      <c r="L15" s="28"/>
      <c r="M15" s="25">
        <v>51186422</v>
      </c>
      <c r="N15" s="24">
        <v>45758</v>
      </c>
      <c r="O15" s="28"/>
      <c r="P15" s="28"/>
    </row>
    <row r="16" spans="1:16" ht="67.5" customHeight="1">
      <c r="A16" s="19" t="s">
        <v>585</v>
      </c>
      <c r="B16" s="30" t="s">
        <v>586</v>
      </c>
      <c r="C16" s="39" t="s">
        <v>395</v>
      </c>
      <c r="D16" s="40" t="s">
        <v>396</v>
      </c>
      <c r="E16" s="20" t="s">
        <v>361</v>
      </c>
      <c r="F16" s="19" t="s">
        <v>587</v>
      </c>
      <c r="G16" s="22" t="s">
        <v>588</v>
      </c>
      <c r="H16" s="24">
        <v>45733</v>
      </c>
      <c r="I16" s="24">
        <v>45764</v>
      </c>
      <c r="J16" s="24">
        <v>45764</v>
      </c>
      <c r="K16" s="25">
        <v>4892000</v>
      </c>
      <c r="L16" s="28"/>
      <c r="M16" s="25">
        <v>4892000</v>
      </c>
      <c r="N16" s="28"/>
      <c r="O16" s="28"/>
      <c r="P16" s="28"/>
    </row>
    <row r="17" spans="1:16" ht="67.5" customHeight="1">
      <c r="A17" s="19" t="s">
        <v>589</v>
      </c>
      <c r="B17" s="20" t="s">
        <v>590</v>
      </c>
      <c r="C17" s="20" t="s">
        <v>513</v>
      </c>
      <c r="D17" s="20">
        <v>16551839</v>
      </c>
      <c r="E17" s="20" t="s">
        <v>361</v>
      </c>
      <c r="F17" s="19" t="s">
        <v>591</v>
      </c>
      <c r="G17" s="19" t="s">
        <v>592</v>
      </c>
      <c r="H17" s="24">
        <v>45741</v>
      </c>
      <c r="I17" s="24">
        <v>45772</v>
      </c>
      <c r="J17" s="24">
        <v>45772</v>
      </c>
      <c r="K17" s="25">
        <v>5300000</v>
      </c>
      <c r="L17" s="28"/>
      <c r="M17" s="25">
        <v>5300000</v>
      </c>
      <c r="N17" s="28"/>
      <c r="O17" s="28"/>
      <c r="P17" s="28"/>
    </row>
    <row r="18" spans="1:16" ht="67.5" customHeight="1">
      <c r="A18" s="19" t="s">
        <v>593</v>
      </c>
      <c r="B18" s="30" t="s">
        <v>594</v>
      </c>
      <c r="C18" s="30" t="s">
        <v>595</v>
      </c>
      <c r="D18" s="30" t="s">
        <v>425</v>
      </c>
      <c r="E18" s="20" t="s">
        <v>361</v>
      </c>
      <c r="F18" s="19" t="s">
        <v>596</v>
      </c>
      <c r="G18" s="19" t="s">
        <v>597</v>
      </c>
      <c r="H18" s="24">
        <v>45741</v>
      </c>
      <c r="I18" s="24">
        <v>45772</v>
      </c>
      <c r="J18" s="24">
        <v>45772</v>
      </c>
      <c r="K18" s="25">
        <v>47558350</v>
      </c>
      <c r="L18" s="28"/>
      <c r="M18" s="25">
        <v>47558350</v>
      </c>
      <c r="N18" s="28"/>
      <c r="O18" s="28"/>
      <c r="P18" s="28"/>
    </row>
    <row r="19" spans="1:16" ht="67.5" customHeight="1">
      <c r="A19" s="19" t="s">
        <v>598</v>
      </c>
      <c r="B19" s="20" t="s">
        <v>599</v>
      </c>
      <c r="C19" s="20" t="s">
        <v>428</v>
      </c>
      <c r="D19" s="20" t="s">
        <v>429</v>
      </c>
      <c r="E19" s="20" t="s">
        <v>361</v>
      </c>
      <c r="F19" s="19" t="s">
        <v>600</v>
      </c>
      <c r="G19" s="19" t="s">
        <v>601</v>
      </c>
      <c r="H19" s="24">
        <v>45743</v>
      </c>
      <c r="I19" s="24">
        <v>45774</v>
      </c>
      <c r="J19" s="24">
        <v>45774</v>
      </c>
      <c r="K19" s="25">
        <v>5915000</v>
      </c>
      <c r="L19" s="28"/>
      <c r="M19" s="25">
        <v>5915000</v>
      </c>
      <c r="N19" s="28"/>
      <c r="O19" s="28"/>
      <c r="P19" s="28"/>
    </row>
    <row r="20" spans="1:16" ht="67.5" customHeight="1">
      <c r="A20" s="19" t="s">
        <v>602</v>
      </c>
      <c r="B20" s="30" t="s">
        <v>603</v>
      </c>
      <c r="C20" s="30" t="s">
        <v>406</v>
      </c>
      <c r="D20" s="30" t="s">
        <v>407</v>
      </c>
      <c r="E20" s="20" t="s">
        <v>361</v>
      </c>
      <c r="F20" s="19" t="s">
        <v>604</v>
      </c>
      <c r="G20" s="19" t="s">
        <v>605</v>
      </c>
      <c r="H20" s="24">
        <v>45747</v>
      </c>
      <c r="I20" s="24">
        <v>45777</v>
      </c>
      <c r="J20" s="24">
        <v>45777</v>
      </c>
      <c r="K20" s="25">
        <v>6579510</v>
      </c>
      <c r="L20" s="28"/>
      <c r="M20" s="25">
        <v>6579510</v>
      </c>
      <c r="N20" s="28"/>
      <c r="O20" s="28"/>
      <c r="P20" s="28"/>
    </row>
    <row r="21" spans="1:16" ht="67.5" customHeight="1">
      <c r="A21" s="19" t="s">
        <v>606</v>
      </c>
      <c r="B21" s="30" t="s">
        <v>607</v>
      </c>
      <c r="C21" s="20" t="s">
        <v>608</v>
      </c>
      <c r="D21" s="20" t="s">
        <v>609</v>
      </c>
      <c r="E21" s="20" t="s">
        <v>356</v>
      </c>
      <c r="F21" s="19" t="s">
        <v>610</v>
      </c>
      <c r="G21" s="19" t="s">
        <v>611</v>
      </c>
      <c r="H21" s="24">
        <v>45747</v>
      </c>
      <c r="I21" s="24">
        <v>46022</v>
      </c>
      <c r="J21" s="24">
        <v>46022</v>
      </c>
      <c r="K21" s="25">
        <v>3990000</v>
      </c>
      <c r="L21" s="28"/>
      <c r="M21" s="25">
        <v>3990000</v>
      </c>
      <c r="N21" s="28"/>
      <c r="O21" s="28"/>
      <c r="P21" s="28"/>
    </row>
    <row r="22" spans="1:16" ht="67.5" customHeight="1">
      <c r="A22" s="19" t="s">
        <v>612</v>
      </c>
      <c r="B22" s="20" t="s">
        <v>613</v>
      </c>
      <c r="C22" s="20" t="s">
        <v>614</v>
      </c>
      <c r="D22" s="20" t="s">
        <v>615</v>
      </c>
      <c r="E22" s="20" t="s">
        <v>361</v>
      </c>
      <c r="F22" s="19" t="s">
        <v>616</v>
      </c>
      <c r="G22" s="22" t="s">
        <v>617</v>
      </c>
      <c r="H22" s="24">
        <v>45777</v>
      </c>
      <c r="I22" s="24">
        <v>45838</v>
      </c>
      <c r="J22" s="24">
        <v>45838</v>
      </c>
      <c r="K22" s="25">
        <v>2949251</v>
      </c>
      <c r="L22" s="28"/>
      <c r="M22" s="25">
        <v>2949251</v>
      </c>
      <c r="N22" s="28"/>
      <c r="O22" s="28"/>
      <c r="P22" s="28"/>
    </row>
    <row r="23" spans="1:16" ht="67.5" customHeight="1">
      <c r="A23" s="19" t="s">
        <v>618</v>
      </c>
      <c r="B23" s="20" t="s">
        <v>619</v>
      </c>
      <c r="C23" s="30" t="s">
        <v>406</v>
      </c>
      <c r="D23" s="20" t="s">
        <v>407</v>
      </c>
      <c r="E23" s="20" t="s">
        <v>361</v>
      </c>
      <c r="F23" s="19" t="s">
        <v>620</v>
      </c>
      <c r="G23" s="19" t="s">
        <v>621</v>
      </c>
      <c r="H23" s="24">
        <v>45785</v>
      </c>
      <c r="I23" s="24">
        <v>45816</v>
      </c>
      <c r="J23" s="24">
        <v>45816</v>
      </c>
      <c r="K23" s="25">
        <v>21535430</v>
      </c>
      <c r="L23" s="28"/>
      <c r="M23" s="25">
        <v>21535430</v>
      </c>
      <c r="N23" s="28"/>
      <c r="O23" s="28"/>
      <c r="P23" s="28"/>
    </row>
    <row r="24" spans="1:16" ht="67.5" customHeight="1">
      <c r="A24" s="19" t="s">
        <v>622</v>
      </c>
      <c r="B24" s="30" t="s">
        <v>623</v>
      </c>
      <c r="C24" s="30" t="s">
        <v>624</v>
      </c>
      <c r="D24" s="30" t="s">
        <v>625</v>
      </c>
      <c r="E24" s="20" t="s">
        <v>361</v>
      </c>
      <c r="F24" s="19" t="s">
        <v>626</v>
      </c>
      <c r="G24" s="19" t="s">
        <v>627</v>
      </c>
      <c r="H24" s="24">
        <v>45791</v>
      </c>
      <c r="I24" s="24">
        <v>45822</v>
      </c>
      <c r="J24" s="24">
        <v>45822</v>
      </c>
      <c r="K24" s="25">
        <v>3000000</v>
      </c>
      <c r="L24" s="28"/>
      <c r="M24" s="25">
        <v>3000000</v>
      </c>
      <c r="N24" s="28"/>
      <c r="O24" s="28"/>
      <c r="P24" s="28"/>
    </row>
    <row r="25" spans="1:16" ht="67.5" customHeight="1">
      <c r="A25" s="19" t="s">
        <v>628</v>
      </c>
      <c r="B25" s="30" t="s">
        <v>394</v>
      </c>
      <c r="C25" s="39" t="s">
        <v>395</v>
      </c>
      <c r="D25" s="40" t="s">
        <v>396</v>
      </c>
      <c r="E25" s="30" t="s">
        <v>361</v>
      </c>
      <c r="F25" s="19" t="s">
        <v>629</v>
      </c>
      <c r="G25" s="19" t="s">
        <v>630</v>
      </c>
      <c r="H25" s="24">
        <v>45800</v>
      </c>
      <c r="I25" s="24">
        <v>46022</v>
      </c>
      <c r="J25" s="24">
        <v>46022</v>
      </c>
      <c r="K25" s="25">
        <v>67008600</v>
      </c>
      <c r="L25" s="28"/>
      <c r="M25" s="25">
        <v>67008600</v>
      </c>
      <c r="N25" s="28"/>
      <c r="O25" s="28"/>
      <c r="P25" s="28"/>
    </row>
    <row r="26" spans="1:16" ht="67.5" customHeight="1">
      <c r="A26" s="19" t="s">
        <v>631</v>
      </c>
      <c r="B26" s="20" t="s">
        <v>632</v>
      </c>
      <c r="C26" s="19" t="s">
        <v>434</v>
      </c>
      <c r="D26" s="27">
        <v>10093142</v>
      </c>
      <c r="E26" s="20" t="s">
        <v>361</v>
      </c>
      <c r="F26" s="19" t="s">
        <v>633</v>
      </c>
      <c r="G26" s="19" t="s">
        <v>634</v>
      </c>
      <c r="H26" s="26">
        <v>45807</v>
      </c>
      <c r="I26" s="24">
        <v>45869</v>
      </c>
      <c r="J26" s="24">
        <v>45869</v>
      </c>
      <c r="K26" s="25">
        <v>23883300</v>
      </c>
      <c r="L26" s="28"/>
      <c r="M26" s="25">
        <v>23883300</v>
      </c>
      <c r="N26" s="28"/>
      <c r="O26" s="28"/>
      <c r="P26" s="28"/>
    </row>
    <row r="27" spans="1:16" ht="67.5" customHeight="1">
      <c r="A27" s="19" t="s">
        <v>635</v>
      </c>
      <c r="B27" s="20" t="s">
        <v>636</v>
      </c>
      <c r="C27" s="20" t="s">
        <v>419</v>
      </c>
      <c r="D27" s="20" t="s">
        <v>420</v>
      </c>
      <c r="E27" s="20" t="s">
        <v>361</v>
      </c>
      <c r="F27" s="19" t="s">
        <v>637</v>
      </c>
      <c r="G27" s="19" t="s">
        <v>638</v>
      </c>
      <c r="H27" s="24">
        <v>45818</v>
      </c>
      <c r="I27" s="24">
        <v>46022</v>
      </c>
      <c r="J27" s="24">
        <v>46022</v>
      </c>
      <c r="K27" s="25">
        <v>43029091</v>
      </c>
      <c r="L27" s="28"/>
      <c r="M27" s="25">
        <v>43029091</v>
      </c>
      <c r="N27" s="28"/>
      <c r="O27" s="28"/>
      <c r="P27" s="28"/>
    </row>
    <row r="28" spans="1:16" ht="67.5" customHeight="1">
      <c r="A28" s="19" t="s">
        <v>639</v>
      </c>
      <c r="B28" s="20" t="s">
        <v>640</v>
      </c>
      <c r="C28" s="30" t="s">
        <v>406</v>
      </c>
      <c r="D28" s="20" t="s">
        <v>407</v>
      </c>
      <c r="E28" s="20" t="s">
        <v>361</v>
      </c>
      <c r="F28" s="19" t="s">
        <v>641</v>
      </c>
      <c r="G28" s="19" t="s">
        <v>642</v>
      </c>
      <c r="H28" s="24">
        <v>45820</v>
      </c>
      <c r="I28" s="24">
        <v>45850</v>
      </c>
      <c r="J28" s="24">
        <v>45850</v>
      </c>
      <c r="K28" s="25">
        <v>3824660</v>
      </c>
      <c r="L28" s="28"/>
      <c r="M28" s="25">
        <v>3824660</v>
      </c>
      <c r="N28" s="28"/>
      <c r="O28" s="28"/>
      <c r="P28" s="28"/>
    </row>
    <row r="29" spans="1:16" ht="67.5" customHeight="1">
      <c r="A29" s="19" t="s">
        <v>643</v>
      </c>
      <c r="B29" s="20" t="s">
        <v>644</v>
      </c>
      <c r="C29" s="20" t="s">
        <v>645</v>
      </c>
      <c r="D29" s="20">
        <v>94229932</v>
      </c>
      <c r="E29" s="20" t="s">
        <v>361</v>
      </c>
      <c r="F29" s="19" t="s">
        <v>646</v>
      </c>
      <c r="G29" s="19" t="s">
        <v>647</v>
      </c>
      <c r="H29" s="24">
        <v>45820</v>
      </c>
      <c r="I29" s="24">
        <v>45838</v>
      </c>
      <c r="J29" s="24">
        <v>45838</v>
      </c>
      <c r="K29" s="25">
        <v>15967802</v>
      </c>
      <c r="L29" s="28"/>
      <c r="M29" s="25">
        <v>15967802</v>
      </c>
      <c r="N29" s="28"/>
      <c r="O29" s="28"/>
      <c r="P29" s="28"/>
    </row>
    <row r="30" spans="1:16" ht="67.5" customHeight="1">
      <c r="A30" s="19" t="s">
        <v>648</v>
      </c>
      <c r="B30" s="20" t="s">
        <v>649</v>
      </c>
      <c r="C30" s="20" t="s">
        <v>359</v>
      </c>
      <c r="D30" s="20" t="s">
        <v>360</v>
      </c>
      <c r="E30" s="20" t="s">
        <v>361</v>
      </c>
      <c r="F30" s="19" t="s">
        <v>650</v>
      </c>
      <c r="G30" s="19" t="s">
        <v>651</v>
      </c>
      <c r="H30" s="24">
        <v>45825</v>
      </c>
      <c r="I30" s="24">
        <v>45855</v>
      </c>
      <c r="J30" s="24">
        <v>45855</v>
      </c>
      <c r="K30" s="25">
        <v>28675793</v>
      </c>
      <c r="L30" s="28"/>
      <c r="M30" s="25">
        <v>28675793</v>
      </c>
      <c r="N30" s="28"/>
      <c r="O30" s="28"/>
      <c r="P30" s="28"/>
    </row>
    <row r="31" spans="1:16" ht="67.5" customHeight="1">
      <c r="A31" s="19" t="s">
        <v>652</v>
      </c>
      <c r="B31" s="20" t="s">
        <v>653</v>
      </c>
      <c r="C31" s="20" t="s">
        <v>359</v>
      </c>
      <c r="D31" s="20" t="s">
        <v>360</v>
      </c>
      <c r="E31" s="20" t="s">
        <v>361</v>
      </c>
      <c r="F31" s="19" t="s">
        <v>654</v>
      </c>
      <c r="G31" s="19" t="s">
        <v>655</v>
      </c>
      <c r="H31" s="24">
        <v>45826</v>
      </c>
      <c r="I31" s="24">
        <v>45856</v>
      </c>
      <c r="J31" s="24">
        <v>45856</v>
      </c>
      <c r="K31" s="25">
        <v>7168950</v>
      </c>
      <c r="L31" s="28"/>
      <c r="M31" s="25">
        <v>7168950</v>
      </c>
      <c r="N31" s="28"/>
      <c r="O31" s="28"/>
      <c r="P31" s="28"/>
    </row>
    <row r="32" spans="1:16" ht="67.5" customHeight="1">
      <c r="A32" s="19" t="s">
        <v>656</v>
      </c>
      <c r="B32" s="20" t="s">
        <v>657</v>
      </c>
      <c r="C32" s="33" t="s">
        <v>478</v>
      </c>
      <c r="D32" s="36" t="s">
        <v>479</v>
      </c>
      <c r="E32" s="20" t="s">
        <v>356</v>
      </c>
      <c r="F32" s="19" t="s">
        <v>658</v>
      </c>
      <c r="G32" s="19" t="s">
        <v>659</v>
      </c>
      <c r="H32" s="24">
        <v>45839</v>
      </c>
      <c r="I32" s="24">
        <v>45869</v>
      </c>
      <c r="J32" s="24">
        <v>45869</v>
      </c>
      <c r="K32" s="25">
        <v>18000000</v>
      </c>
      <c r="L32" s="28"/>
      <c r="M32" s="25">
        <v>18000000</v>
      </c>
      <c r="N32" s="28"/>
      <c r="O32" s="28"/>
      <c r="P32" s="28"/>
    </row>
    <row r="33" spans="1:16" ht="67.5" customHeight="1">
      <c r="A33" s="19" t="s">
        <v>660</v>
      </c>
      <c r="B33" s="20" t="s">
        <v>661</v>
      </c>
      <c r="C33" s="33" t="s">
        <v>662</v>
      </c>
      <c r="D33" s="36" t="s">
        <v>377</v>
      </c>
      <c r="E33" s="20" t="s">
        <v>361</v>
      </c>
      <c r="F33" s="19" t="s">
        <v>663</v>
      </c>
      <c r="G33" s="19" t="s">
        <v>664</v>
      </c>
      <c r="H33" s="24">
        <v>45852</v>
      </c>
      <c r="I33" s="24">
        <v>45883</v>
      </c>
      <c r="J33" s="24">
        <v>45883</v>
      </c>
      <c r="K33" s="25">
        <v>22568437</v>
      </c>
      <c r="L33" s="28"/>
      <c r="M33" s="25">
        <v>22568437</v>
      </c>
      <c r="N33" s="28"/>
      <c r="O33" s="28"/>
      <c r="P33" s="28"/>
    </row>
    <row r="34" spans="1:16" ht="67.5" customHeight="1">
      <c r="A34" s="19" t="s">
        <v>665</v>
      </c>
      <c r="B34" s="20" t="s">
        <v>421</v>
      </c>
      <c r="C34" s="20" t="s">
        <v>422</v>
      </c>
      <c r="D34" s="20">
        <v>6441929</v>
      </c>
      <c r="E34" s="20" t="s">
        <v>361</v>
      </c>
      <c r="F34" s="19" t="s">
        <v>666</v>
      </c>
      <c r="G34" s="19" t="s">
        <v>667</v>
      </c>
      <c r="H34" s="26">
        <v>45854</v>
      </c>
      <c r="I34" s="24">
        <v>46022</v>
      </c>
      <c r="J34" s="24">
        <v>46022</v>
      </c>
      <c r="K34" s="25">
        <v>71000000</v>
      </c>
      <c r="L34" s="25">
        <v>26000000</v>
      </c>
      <c r="M34" s="25">
        <f>K34+L34</f>
        <v>97000000</v>
      </c>
      <c r="N34" s="44">
        <v>45985</v>
      </c>
      <c r="O34" s="78" t="s">
        <v>2284</v>
      </c>
      <c r="P34" s="19">
        <v>14222</v>
      </c>
    </row>
    <row r="35" spans="1:16" ht="67.5" customHeight="1">
      <c r="A35" s="19" t="s">
        <v>668</v>
      </c>
      <c r="B35" s="20" t="s">
        <v>669</v>
      </c>
      <c r="C35" s="33" t="s">
        <v>471</v>
      </c>
      <c r="D35" s="36" t="s">
        <v>472</v>
      </c>
      <c r="E35" s="20" t="s">
        <v>361</v>
      </c>
      <c r="F35" s="19" t="s">
        <v>670</v>
      </c>
      <c r="G35" s="19" t="s">
        <v>671</v>
      </c>
      <c r="H35" s="26">
        <v>45856</v>
      </c>
      <c r="I35" s="24">
        <v>45890</v>
      </c>
      <c r="J35" s="24">
        <v>45890</v>
      </c>
      <c r="K35" s="25">
        <v>14666274</v>
      </c>
      <c r="L35" s="28"/>
      <c r="M35" s="25">
        <v>14666274</v>
      </c>
      <c r="N35" s="28"/>
      <c r="O35" s="28"/>
      <c r="P35" s="28"/>
    </row>
    <row r="36" spans="1:16" ht="67.5" customHeight="1">
      <c r="A36" s="19" t="s">
        <v>672</v>
      </c>
      <c r="B36" s="20" t="s">
        <v>673</v>
      </c>
      <c r="C36" s="20" t="s">
        <v>674</v>
      </c>
      <c r="D36" s="20" t="s">
        <v>675</v>
      </c>
      <c r="E36" s="20" t="s">
        <v>361</v>
      </c>
      <c r="F36" s="19" t="s">
        <v>676</v>
      </c>
      <c r="G36" s="19" t="s">
        <v>677</v>
      </c>
      <c r="H36" s="26">
        <v>45888</v>
      </c>
      <c r="I36" s="26">
        <v>45919</v>
      </c>
      <c r="J36" s="26">
        <v>45919</v>
      </c>
      <c r="K36" s="25">
        <v>1352702</v>
      </c>
      <c r="L36" s="28"/>
      <c r="M36" s="25">
        <v>1352702</v>
      </c>
      <c r="N36" s="28"/>
      <c r="O36" s="28"/>
      <c r="P36" s="28"/>
    </row>
    <row r="37" spans="1:16" ht="67.5" customHeight="1">
      <c r="A37" s="19" t="s">
        <v>678</v>
      </c>
      <c r="B37" s="20" t="s">
        <v>679</v>
      </c>
      <c r="C37" s="20" t="s">
        <v>645</v>
      </c>
      <c r="D37" s="20">
        <v>94229932</v>
      </c>
      <c r="E37" s="20" t="s">
        <v>361</v>
      </c>
      <c r="F37" s="19" t="s">
        <v>680</v>
      </c>
      <c r="G37" s="43">
        <v>844</v>
      </c>
      <c r="H37" s="26">
        <v>45901</v>
      </c>
      <c r="I37" s="26">
        <v>45930</v>
      </c>
      <c r="J37" s="26">
        <v>45930</v>
      </c>
      <c r="K37" s="25">
        <v>13288000</v>
      </c>
      <c r="L37" s="28"/>
      <c r="M37" s="25">
        <v>13288000</v>
      </c>
      <c r="N37" s="28"/>
      <c r="O37" s="28"/>
      <c r="P37" s="28"/>
    </row>
    <row r="38" spans="1:16" ht="67.5" customHeight="1">
      <c r="A38" s="11" t="s">
        <v>2227</v>
      </c>
      <c r="B38" s="9" t="s">
        <v>2228</v>
      </c>
      <c r="C38" s="9" t="s">
        <v>2229</v>
      </c>
      <c r="D38" s="9">
        <v>51848141</v>
      </c>
      <c r="E38" s="11" t="s">
        <v>361</v>
      </c>
      <c r="F38" s="11" t="s">
        <v>2230</v>
      </c>
      <c r="G38" s="11">
        <v>1367</v>
      </c>
      <c r="H38" s="10">
        <v>45959</v>
      </c>
      <c r="I38" s="14">
        <v>46022</v>
      </c>
      <c r="J38" s="14">
        <v>46022</v>
      </c>
      <c r="K38" s="13">
        <v>3540000</v>
      </c>
      <c r="L38" s="28"/>
      <c r="M38" s="13">
        <v>3540000</v>
      </c>
      <c r="N38" s="28"/>
      <c r="O38" s="28"/>
      <c r="P38" s="28"/>
    </row>
    <row r="39" spans="1:16" ht="67.5" customHeight="1">
      <c r="A39" s="82" t="s">
        <v>2285</v>
      </c>
      <c r="B39" s="83" t="s">
        <v>2286</v>
      </c>
      <c r="C39" s="83" t="s">
        <v>2287</v>
      </c>
      <c r="D39" s="83">
        <v>1007696743</v>
      </c>
      <c r="E39" s="11" t="s">
        <v>361</v>
      </c>
      <c r="F39" s="2" t="s">
        <v>2288</v>
      </c>
      <c r="G39" s="2">
        <v>1439</v>
      </c>
      <c r="H39" s="3">
        <v>45980</v>
      </c>
      <c r="I39" s="7">
        <v>46022</v>
      </c>
      <c r="J39" s="7">
        <v>46022</v>
      </c>
      <c r="K39" s="6">
        <v>65400000</v>
      </c>
      <c r="L39" s="28"/>
      <c r="M39" s="6">
        <v>65400000</v>
      </c>
      <c r="N39" s="28"/>
      <c r="O39" s="28"/>
      <c r="P39" s="28"/>
    </row>
    <row r="40" spans="1:16" ht="67.5" customHeight="1">
      <c r="A40" s="19" t="s">
        <v>681</v>
      </c>
      <c r="B40" s="20" t="s">
        <v>682</v>
      </c>
      <c r="C40" s="20" t="s">
        <v>415</v>
      </c>
      <c r="D40" s="20" t="s">
        <v>416</v>
      </c>
      <c r="E40" s="20" t="s">
        <v>361</v>
      </c>
      <c r="F40" s="19" t="s">
        <v>683</v>
      </c>
      <c r="G40" s="19" t="s">
        <v>684</v>
      </c>
      <c r="H40" s="24">
        <v>45659</v>
      </c>
      <c r="I40" s="24">
        <v>46022</v>
      </c>
      <c r="J40" s="24">
        <v>46022</v>
      </c>
      <c r="K40" s="25">
        <v>68560800</v>
      </c>
      <c r="L40" s="28"/>
      <c r="M40" s="25">
        <v>68560800</v>
      </c>
      <c r="N40" s="28"/>
      <c r="O40" s="28"/>
      <c r="P40" s="28"/>
    </row>
    <row r="41" spans="1:16" ht="67.5" customHeight="1">
      <c r="A41" s="19" t="s">
        <v>685</v>
      </c>
      <c r="B41" s="20" t="s">
        <v>358</v>
      </c>
      <c r="C41" s="20" t="s">
        <v>359</v>
      </c>
      <c r="D41" s="20" t="s">
        <v>360</v>
      </c>
      <c r="E41" s="20" t="s">
        <v>361</v>
      </c>
      <c r="F41" s="19" t="s">
        <v>686</v>
      </c>
      <c r="G41" s="19" t="s">
        <v>687</v>
      </c>
      <c r="H41" s="24">
        <v>45664</v>
      </c>
      <c r="I41" s="24">
        <v>46022</v>
      </c>
      <c r="J41" s="24">
        <v>46022</v>
      </c>
      <c r="K41" s="25">
        <v>207000000</v>
      </c>
      <c r="L41" s="25">
        <v>100000000</v>
      </c>
      <c r="M41" s="25">
        <f>207000000+L41</f>
        <v>307000000</v>
      </c>
      <c r="N41" s="24">
        <v>45918</v>
      </c>
      <c r="O41" s="27" t="s">
        <v>688</v>
      </c>
      <c r="P41" s="19" t="s">
        <v>689</v>
      </c>
    </row>
    <row r="42" spans="1:16" ht="67.5" customHeight="1">
      <c r="A42" s="19" t="s">
        <v>690</v>
      </c>
      <c r="B42" s="20" t="s">
        <v>691</v>
      </c>
      <c r="C42" s="19" t="s">
        <v>434</v>
      </c>
      <c r="D42" s="27">
        <v>10093142</v>
      </c>
      <c r="E42" s="20" t="s">
        <v>361</v>
      </c>
      <c r="F42" s="19" t="s">
        <v>692</v>
      </c>
      <c r="G42" s="19" t="s">
        <v>693</v>
      </c>
      <c r="H42" s="24">
        <v>45798</v>
      </c>
      <c r="I42" s="24">
        <v>45829</v>
      </c>
      <c r="J42" s="24">
        <v>45829</v>
      </c>
      <c r="K42" s="25">
        <v>16422000</v>
      </c>
      <c r="L42" s="28"/>
      <c r="M42" s="25">
        <v>16422000</v>
      </c>
      <c r="N42" s="28"/>
      <c r="O42" s="28"/>
      <c r="P42" s="28"/>
    </row>
    <row r="43" spans="1:16" ht="67.5" customHeight="1">
      <c r="A43" s="19" t="s">
        <v>694</v>
      </c>
      <c r="B43" s="20" t="s">
        <v>695</v>
      </c>
      <c r="C43" s="33" t="s">
        <v>471</v>
      </c>
      <c r="D43" s="36" t="s">
        <v>472</v>
      </c>
      <c r="E43" s="20" t="s">
        <v>361</v>
      </c>
      <c r="F43" s="19" t="s">
        <v>696</v>
      </c>
      <c r="G43" s="19" t="s">
        <v>697</v>
      </c>
      <c r="H43" s="24">
        <v>45803</v>
      </c>
      <c r="I43" s="24">
        <v>46022</v>
      </c>
      <c r="J43" s="24">
        <v>46022</v>
      </c>
      <c r="K43" s="25">
        <v>33000000</v>
      </c>
      <c r="L43" s="28"/>
      <c r="M43" s="25">
        <v>33000000</v>
      </c>
      <c r="N43" s="28"/>
      <c r="O43" s="28"/>
      <c r="P43" s="28"/>
    </row>
    <row r="44" spans="1:16" ht="67.5" customHeight="1">
      <c r="A44" s="2" t="s">
        <v>2283</v>
      </c>
      <c r="B44" s="2" t="s">
        <v>2235</v>
      </c>
      <c r="C44" s="2" t="s">
        <v>2277</v>
      </c>
      <c r="D44" s="2">
        <v>16545594</v>
      </c>
      <c r="E44" s="69" t="s">
        <v>361</v>
      </c>
      <c r="F44" s="2" t="s">
        <v>2236</v>
      </c>
      <c r="G44" s="2">
        <v>1420</v>
      </c>
      <c r="H44" s="3">
        <v>45982</v>
      </c>
      <c r="I44" s="7">
        <v>46022</v>
      </c>
      <c r="J44" s="7">
        <v>46022</v>
      </c>
      <c r="K44" s="6">
        <v>10317200</v>
      </c>
      <c r="L44" s="28"/>
      <c r="M44" s="6">
        <v>10317200</v>
      </c>
      <c r="N44" s="28"/>
      <c r="O44" s="28"/>
      <c r="P44" s="28"/>
    </row>
    <row r="45" spans="1:16" ht="67.5" customHeight="1">
      <c r="A45" s="2" t="s">
        <v>2267</v>
      </c>
      <c r="B45" s="2" t="s">
        <v>2233</v>
      </c>
      <c r="C45" s="2" t="s">
        <v>2268</v>
      </c>
      <c r="D45" s="2" t="s">
        <v>2269</v>
      </c>
      <c r="E45" s="69" t="s">
        <v>361</v>
      </c>
      <c r="F45" s="2" t="s">
        <v>2234</v>
      </c>
      <c r="G45" s="2">
        <v>1418</v>
      </c>
      <c r="H45" s="3">
        <v>45979</v>
      </c>
      <c r="I45" s="7">
        <v>46022</v>
      </c>
      <c r="J45" s="7">
        <v>46022</v>
      </c>
      <c r="K45" s="6">
        <v>196763330</v>
      </c>
      <c r="L45" s="28"/>
      <c r="M45" s="6">
        <v>196763330</v>
      </c>
      <c r="N45" s="28"/>
      <c r="O45" s="28"/>
      <c r="P45" s="28"/>
    </row>
    <row r="46" spans="1:16" ht="67.5" customHeight="1">
      <c r="A46" s="19" t="s">
        <v>698</v>
      </c>
      <c r="B46" s="20" t="s">
        <v>465</v>
      </c>
      <c r="C46" s="20" t="s">
        <v>466</v>
      </c>
      <c r="D46" s="20" t="s">
        <v>467</v>
      </c>
      <c r="E46" s="20" t="s">
        <v>353</v>
      </c>
      <c r="F46" s="19" t="s">
        <v>699</v>
      </c>
      <c r="G46" s="19" t="s">
        <v>700</v>
      </c>
      <c r="H46" s="24">
        <v>45664</v>
      </c>
      <c r="I46" s="24">
        <v>45899</v>
      </c>
      <c r="J46" s="24">
        <v>45899</v>
      </c>
      <c r="K46" s="25">
        <v>108666667</v>
      </c>
      <c r="L46" s="25">
        <f>32000000+22333334</f>
        <v>54333334</v>
      </c>
      <c r="M46" s="25">
        <f>108666667+L46</f>
        <v>163000001</v>
      </c>
      <c r="N46" s="26" t="s">
        <v>701</v>
      </c>
      <c r="O46" s="19" t="s">
        <v>702</v>
      </c>
      <c r="P46" s="19" t="s">
        <v>703</v>
      </c>
    </row>
    <row r="47" spans="1:16" ht="67.5" customHeight="1">
      <c r="A47" s="19" t="s">
        <v>704</v>
      </c>
      <c r="B47" s="20" t="s">
        <v>362</v>
      </c>
      <c r="C47" s="20" t="s">
        <v>359</v>
      </c>
      <c r="D47" s="20" t="s">
        <v>360</v>
      </c>
      <c r="E47" s="20" t="s">
        <v>353</v>
      </c>
      <c r="F47" s="19" t="s">
        <v>705</v>
      </c>
      <c r="G47" s="19" t="s">
        <v>706</v>
      </c>
      <c r="H47" s="31">
        <v>45670</v>
      </c>
      <c r="I47" s="24">
        <v>46022</v>
      </c>
      <c r="J47" s="24">
        <v>46022</v>
      </c>
      <c r="K47" s="25">
        <v>378000000</v>
      </c>
      <c r="L47" s="28"/>
      <c r="M47" s="25">
        <v>378000000</v>
      </c>
      <c r="N47" s="28"/>
      <c r="O47" s="28"/>
      <c r="P47" s="28"/>
    </row>
    <row r="48" spans="1:16" ht="67.5" customHeight="1">
      <c r="A48" s="19" t="s">
        <v>707</v>
      </c>
      <c r="B48" s="20" t="s">
        <v>493</v>
      </c>
      <c r="C48" s="20" t="s">
        <v>494</v>
      </c>
      <c r="D48" s="20" t="s">
        <v>495</v>
      </c>
      <c r="E48" s="20" t="s">
        <v>361</v>
      </c>
      <c r="F48" s="19" t="s">
        <v>708</v>
      </c>
      <c r="G48" s="19" t="s">
        <v>709</v>
      </c>
      <c r="H48" s="31">
        <v>45674</v>
      </c>
      <c r="I48" s="24">
        <v>45899</v>
      </c>
      <c r="J48" s="24">
        <v>46022</v>
      </c>
      <c r="K48" s="25">
        <v>44666667</v>
      </c>
      <c r="L48" s="25">
        <f>K48/2</f>
        <v>22333333.5</v>
      </c>
      <c r="M48" s="25">
        <f>K48+L48</f>
        <v>67000000.5</v>
      </c>
      <c r="N48" s="26">
        <v>45891</v>
      </c>
      <c r="O48" s="19" t="s">
        <v>710</v>
      </c>
      <c r="P48" s="19" t="s">
        <v>711</v>
      </c>
    </row>
    <row r="49" spans="1:16" ht="67.5" customHeight="1">
      <c r="A49" s="19" t="s">
        <v>712</v>
      </c>
      <c r="B49" s="20" t="s">
        <v>442</v>
      </c>
      <c r="C49" s="20" t="s">
        <v>443</v>
      </c>
      <c r="D49" s="20" t="s">
        <v>444</v>
      </c>
      <c r="E49" s="20" t="s">
        <v>361</v>
      </c>
      <c r="F49" s="19" t="s">
        <v>713</v>
      </c>
      <c r="G49" s="19" t="s">
        <v>714</v>
      </c>
      <c r="H49" s="31">
        <v>45674</v>
      </c>
      <c r="I49" s="24">
        <v>45892</v>
      </c>
      <c r="J49" s="24">
        <v>45892</v>
      </c>
      <c r="K49" s="25">
        <v>17863000</v>
      </c>
      <c r="L49" s="28"/>
      <c r="M49" s="25">
        <v>17863000</v>
      </c>
      <c r="N49" s="28"/>
      <c r="O49" s="28"/>
      <c r="P49" s="28"/>
    </row>
    <row r="50" spans="1:16" ht="67.5" customHeight="1">
      <c r="A50" s="19" t="s">
        <v>715</v>
      </c>
      <c r="B50" s="20" t="s">
        <v>379</v>
      </c>
      <c r="C50" s="20" t="s">
        <v>380</v>
      </c>
      <c r="D50" s="20" t="s">
        <v>381</v>
      </c>
      <c r="E50" s="20" t="s">
        <v>353</v>
      </c>
      <c r="F50" s="19" t="s">
        <v>716</v>
      </c>
      <c r="G50" s="19" t="s">
        <v>717</v>
      </c>
      <c r="H50" s="31">
        <v>45686</v>
      </c>
      <c r="I50" s="24">
        <v>45899</v>
      </c>
      <c r="J50" s="24">
        <v>45899</v>
      </c>
      <c r="K50" s="25">
        <v>132000000</v>
      </c>
      <c r="L50" s="25">
        <v>66000000</v>
      </c>
      <c r="M50" s="25">
        <f>132000000+L50</f>
        <v>198000000</v>
      </c>
      <c r="N50" s="24">
        <v>45776</v>
      </c>
      <c r="O50" s="27" t="s">
        <v>718</v>
      </c>
      <c r="P50" s="27" t="s">
        <v>719</v>
      </c>
    </row>
    <row r="51" spans="1:16" ht="67.5" customHeight="1">
      <c r="A51" s="19" t="s">
        <v>720</v>
      </c>
      <c r="B51" s="20" t="s">
        <v>366</v>
      </c>
      <c r="C51" s="20" t="s">
        <v>721</v>
      </c>
      <c r="D51" s="20" t="s">
        <v>722</v>
      </c>
      <c r="E51" s="20" t="s">
        <v>353</v>
      </c>
      <c r="F51" s="20" t="s">
        <v>723</v>
      </c>
      <c r="G51" s="20" t="s">
        <v>724</v>
      </c>
      <c r="H51" s="31">
        <v>45691</v>
      </c>
      <c r="I51" s="24">
        <v>45899</v>
      </c>
      <c r="J51" s="24">
        <v>45919</v>
      </c>
      <c r="K51" s="25">
        <v>344600000</v>
      </c>
      <c r="L51" s="28"/>
      <c r="M51" s="25">
        <v>344600000</v>
      </c>
      <c r="N51" s="24">
        <v>45894</v>
      </c>
      <c r="O51" s="28"/>
      <c r="P51" s="28"/>
    </row>
    <row r="52" spans="1:16" ht="67.5" customHeight="1">
      <c r="A52" s="19" t="s">
        <v>725</v>
      </c>
      <c r="B52" s="20" t="s">
        <v>726</v>
      </c>
      <c r="C52" s="20" t="s">
        <v>727</v>
      </c>
      <c r="D52" s="20">
        <v>1007820945</v>
      </c>
      <c r="E52" s="20" t="s">
        <v>353</v>
      </c>
      <c r="F52" s="20" t="s">
        <v>728</v>
      </c>
      <c r="G52" s="20" t="s">
        <v>729</v>
      </c>
      <c r="H52" s="31">
        <v>45691</v>
      </c>
      <c r="I52" s="45">
        <v>45762</v>
      </c>
      <c r="J52" s="45">
        <v>45762</v>
      </c>
      <c r="K52" s="25">
        <v>12062500</v>
      </c>
      <c r="L52" s="28"/>
      <c r="M52" s="25">
        <v>12062500</v>
      </c>
      <c r="N52" s="28"/>
      <c r="O52" s="28"/>
      <c r="P52" s="28"/>
    </row>
    <row r="53" spans="1:16" ht="67.5" customHeight="1">
      <c r="A53" s="19" t="s">
        <v>730</v>
      </c>
      <c r="B53" s="20" t="s">
        <v>731</v>
      </c>
      <c r="C53" s="20" t="s">
        <v>732</v>
      </c>
      <c r="D53" s="20">
        <v>29775266</v>
      </c>
      <c r="E53" s="20" t="s">
        <v>353</v>
      </c>
      <c r="F53" s="19" t="s">
        <v>733</v>
      </c>
      <c r="G53" s="20" t="s">
        <v>734</v>
      </c>
      <c r="H53" s="31">
        <v>45691</v>
      </c>
      <c r="I53" s="24">
        <v>45762</v>
      </c>
      <c r="J53" s="24">
        <v>45762</v>
      </c>
      <c r="K53" s="25">
        <v>6250000</v>
      </c>
      <c r="L53" s="28"/>
      <c r="M53" s="25">
        <v>6250000</v>
      </c>
      <c r="N53" s="28"/>
      <c r="O53" s="28"/>
      <c r="P53" s="28"/>
    </row>
    <row r="54" spans="1:16" ht="67.5" customHeight="1">
      <c r="A54" s="19" t="s">
        <v>735</v>
      </c>
      <c r="B54" s="20" t="s">
        <v>736</v>
      </c>
      <c r="C54" s="20" t="s">
        <v>737</v>
      </c>
      <c r="D54" s="20">
        <v>14875933</v>
      </c>
      <c r="E54" s="20" t="s">
        <v>361</v>
      </c>
      <c r="F54" s="19" t="s">
        <v>738</v>
      </c>
      <c r="G54" s="20" t="s">
        <v>739</v>
      </c>
      <c r="H54" s="31">
        <v>45691</v>
      </c>
      <c r="I54" s="24">
        <v>45930</v>
      </c>
      <c r="J54" s="24">
        <v>45930</v>
      </c>
      <c r="K54" s="25">
        <v>40000000</v>
      </c>
      <c r="L54" s="28"/>
      <c r="M54" s="25">
        <v>40000000</v>
      </c>
      <c r="N54" s="28"/>
      <c r="O54" s="28"/>
      <c r="P54" s="28"/>
    </row>
    <row r="55" spans="1:16" ht="67.5" customHeight="1">
      <c r="A55" s="19" t="s">
        <v>740</v>
      </c>
      <c r="B55" s="20" t="s">
        <v>390</v>
      </c>
      <c r="C55" s="20" t="s">
        <v>391</v>
      </c>
      <c r="D55" s="20">
        <v>1116445741</v>
      </c>
      <c r="E55" s="20" t="s">
        <v>353</v>
      </c>
      <c r="F55" s="19" t="s">
        <v>741</v>
      </c>
      <c r="G55" s="20" t="s">
        <v>742</v>
      </c>
      <c r="H55" s="31">
        <v>45691</v>
      </c>
      <c r="I55" s="24">
        <v>45762</v>
      </c>
      <c r="J55" s="24">
        <v>45762</v>
      </c>
      <c r="K55" s="25">
        <v>11875000</v>
      </c>
      <c r="L55" s="28"/>
      <c r="M55" s="25">
        <v>11875000</v>
      </c>
      <c r="N55" s="28"/>
      <c r="O55" s="28"/>
      <c r="P55" s="28"/>
    </row>
    <row r="56" spans="1:16" ht="67.5" customHeight="1">
      <c r="A56" s="19" t="s">
        <v>743</v>
      </c>
      <c r="B56" s="20" t="s">
        <v>731</v>
      </c>
      <c r="C56" s="20" t="s">
        <v>451</v>
      </c>
      <c r="D56" s="20">
        <v>1113778353</v>
      </c>
      <c r="E56" s="20" t="s">
        <v>353</v>
      </c>
      <c r="F56" s="19" t="s">
        <v>744</v>
      </c>
      <c r="G56" s="20" t="s">
        <v>745</v>
      </c>
      <c r="H56" s="31">
        <v>45691</v>
      </c>
      <c r="I56" s="24">
        <v>45762</v>
      </c>
      <c r="J56" s="24">
        <v>45762</v>
      </c>
      <c r="K56" s="25">
        <v>6250000</v>
      </c>
      <c r="L56" s="28"/>
      <c r="M56" s="25">
        <v>6250000</v>
      </c>
      <c r="N56" s="28"/>
      <c r="O56" s="28"/>
      <c r="P56" s="28"/>
    </row>
    <row r="57" spans="1:16" ht="67.5" customHeight="1">
      <c r="A57" s="19" t="s">
        <v>746</v>
      </c>
      <c r="B57" s="20" t="s">
        <v>731</v>
      </c>
      <c r="C57" s="20" t="s">
        <v>456</v>
      </c>
      <c r="D57" s="20">
        <v>1113779029</v>
      </c>
      <c r="E57" s="20" t="s">
        <v>353</v>
      </c>
      <c r="F57" s="19" t="s">
        <v>747</v>
      </c>
      <c r="G57" s="20" t="s">
        <v>748</v>
      </c>
      <c r="H57" s="31">
        <v>45691</v>
      </c>
      <c r="I57" s="24">
        <v>45762</v>
      </c>
      <c r="J57" s="24">
        <v>45762</v>
      </c>
      <c r="K57" s="25">
        <v>6250000</v>
      </c>
      <c r="L57" s="28"/>
      <c r="M57" s="25">
        <v>6250000</v>
      </c>
      <c r="N57" s="28"/>
      <c r="O57" s="28"/>
      <c r="P57" s="28"/>
    </row>
    <row r="58" spans="1:16" ht="67.5" customHeight="1">
      <c r="A58" s="19" t="s">
        <v>749</v>
      </c>
      <c r="B58" s="20" t="s">
        <v>731</v>
      </c>
      <c r="C58" s="20" t="s">
        <v>750</v>
      </c>
      <c r="D58" s="20">
        <v>1112920109</v>
      </c>
      <c r="E58" s="20" t="s">
        <v>353</v>
      </c>
      <c r="F58" s="19" t="s">
        <v>751</v>
      </c>
      <c r="G58" s="20" t="s">
        <v>752</v>
      </c>
      <c r="H58" s="31">
        <v>45691</v>
      </c>
      <c r="I58" s="24">
        <v>45762</v>
      </c>
      <c r="J58" s="24">
        <v>45762</v>
      </c>
      <c r="K58" s="25">
        <v>6250000</v>
      </c>
      <c r="L58" s="28"/>
      <c r="M58" s="25">
        <v>6250000</v>
      </c>
      <c r="N58" s="28"/>
      <c r="O58" s="28"/>
      <c r="P58" s="28"/>
    </row>
    <row r="59" spans="1:16" ht="67.5" customHeight="1">
      <c r="A59" s="19" t="s">
        <v>753</v>
      </c>
      <c r="B59" s="20" t="s">
        <v>731</v>
      </c>
      <c r="C59" s="20" t="s">
        <v>754</v>
      </c>
      <c r="D59" s="20">
        <v>1007502344</v>
      </c>
      <c r="E59" s="20" t="s">
        <v>353</v>
      </c>
      <c r="F59" s="19" t="s">
        <v>755</v>
      </c>
      <c r="G59" s="20" t="s">
        <v>756</v>
      </c>
      <c r="H59" s="31">
        <v>45691</v>
      </c>
      <c r="I59" s="24">
        <v>45762</v>
      </c>
      <c r="J59" s="24">
        <v>45762</v>
      </c>
      <c r="K59" s="25">
        <v>6250000</v>
      </c>
      <c r="L59" s="28"/>
      <c r="M59" s="25">
        <v>6250000</v>
      </c>
      <c r="N59" s="28"/>
      <c r="O59" s="28"/>
      <c r="P59" s="28"/>
    </row>
    <row r="60" spans="1:16" ht="67.5" customHeight="1">
      <c r="A60" s="19" t="s">
        <v>757</v>
      </c>
      <c r="B60" s="20" t="s">
        <v>758</v>
      </c>
      <c r="C60" s="20" t="s">
        <v>464</v>
      </c>
      <c r="D60" s="20">
        <v>1144063692</v>
      </c>
      <c r="E60" s="20" t="s">
        <v>353</v>
      </c>
      <c r="F60" s="19" t="s">
        <v>759</v>
      </c>
      <c r="G60" s="20" t="s">
        <v>760</v>
      </c>
      <c r="H60" s="31">
        <v>45691</v>
      </c>
      <c r="I60" s="24">
        <v>45762</v>
      </c>
      <c r="J60" s="24">
        <v>45762</v>
      </c>
      <c r="K60" s="25">
        <v>12062500</v>
      </c>
      <c r="L60" s="28"/>
      <c r="M60" s="25">
        <v>12062500</v>
      </c>
      <c r="N60" s="28"/>
      <c r="O60" s="28"/>
      <c r="P60" s="28"/>
    </row>
    <row r="61" spans="1:16" ht="67.5" customHeight="1">
      <c r="A61" s="19" t="s">
        <v>761</v>
      </c>
      <c r="B61" s="20" t="s">
        <v>731</v>
      </c>
      <c r="C61" s="35" t="s">
        <v>452</v>
      </c>
      <c r="D61" s="36">
        <v>1113758623</v>
      </c>
      <c r="E61" s="20" t="s">
        <v>353</v>
      </c>
      <c r="F61" s="19" t="s">
        <v>762</v>
      </c>
      <c r="G61" s="20" t="s">
        <v>763</v>
      </c>
      <c r="H61" s="31">
        <v>45691</v>
      </c>
      <c r="I61" s="24">
        <v>45762</v>
      </c>
      <c r="J61" s="24">
        <v>45762</v>
      </c>
      <c r="K61" s="25">
        <v>6250000</v>
      </c>
      <c r="L61" s="28"/>
      <c r="M61" s="25">
        <v>6250000</v>
      </c>
      <c r="N61" s="28"/>
      <c r="O61" s="28"/>
      <c r="P61" s="28"/>
    </row>
    <row r="62" spans="1:16" ht="67.5" customHeight="1">
      <c r="A62" s="19" t="s">
        <v>764</v>
      </c>
      <c r="B62" s="20" t="s">
        <v>765</v>
      </c>
      <c r="C62" s="36" t="s">
        <v>449</v>
      </c>
      <c r="D62" s="36">
        <v>1006289862</v>
      </c>
      <c r="E62" s="20" t="s">
        <v>353</v>
      </c>
      <c r="F62" s="19" t="s">
        <v>766</v>
      </c>
      <c r="G62" s="20" t="s">
        <v>767</v>
      </c>
      <c r="H62" s="31">
        <v>45691</v>
      </c>
      <c r="I62" s="24">
        <v>45762</v>
      </c>
      <c r="J62" s="24">
        <v>45762</v>
      </c>
      <c r="K62" s="25">
        <v>11875000</v>
      </c>
      <c r="L62" s="28"/>
      <c r="M62" s="25">
        <v>11875000</v>
      </c>
      <c r="N62" s="28"/>
      <c r="O62" s="28"/>
      <c r="P62" s="28"/>
    </row>
    <row r="63" spans="1:16" ht="67.5" customHeight="1">
      <c r="A63" s="19" t="s">
        <v>768</v>
      </c>
      <c r="B63" s="20" t="s">
        <v>765</v>
      </c>
      <c r="C63" s="36" t="s">
        <v>426</v>
      </c>
      <c r="D63" s="36" t="s">
        <v>427</v>
      </c>
      <c r="E63" s="20" t="s">
        <v>353</v>
      </c>
      <c r="F63" s="19" t="s">
        <v>769</v>
      </c>
      <c r="G63" s="20" t="s">
        <v>770</v>
      </c>
      <c r="H63" s="31">
        <v>45691</v>
      </c>
      <c r="I63" s="24">
        <v>45762</v>
      </c>
      <c r="J63" s="24">
        <v>45762</v>
      </c>
      <c r="K63" s="25">
        <v>11875000</v>
      </c>
      <c r="L63" s="28"/>
      <c r="M63" s="25">
        <v>11875000</v>
      </c>
      <c r="N63" s="28"/>
      <c r="O63" s="28"/>
      <c r="P63" s="28"/>
    </row>
    <row r="64" spans="1:16" ht="67.5" customHeight="1">
      <c r="A64" s="19" t="s">
        <v>771</v>
      </c>
      <c r="B64" s="20" t="s">
        <v>772</v>
      </c>
      <c r="C64" s="35" t="s">
        <v>461</v>
      </c>
      <c r="D64" s="36">
        <v>1006289472</v>
      </c>
      <c r="E64" s="20" t="s">
        <v>353</v>
      </c>
      <c r="F64" s="19" t="s">
        <v>773</v>
      </c>
      <c r="G64" s="20" t="s">
        <v>774</v>
      </c>
      <c r="H64" s="31">
        <v>45691</v>
      </c>
      <c r="I64" s="24">
        <v>45762</v>
      </c>
      <c r="J64" s="24">
        <v>45762</v>
      </c>
      <c r="K64" s="25">
        <v>15000000</v>
      </c>
      <c r="L64" s="28"/>
      <c r="M64" s="25">
        <v>15000000</v>
      </c>
      <c r="N64" s="28"/>
      <c r="O64" s="28"/>
      <c r="P64" s="28"/>
    </row>
    <row r="65" spans="1:16" ht="67.5" customHeight="1">
      <c r="A65" s="19" t="s">
        <v>775</v>
      </c>
      <c r="B65" s="20" t="s">
        <v>731</v>
      </c>
      <c r="C65" s="35" t="s">
        <v>459</v>
      </c>
      <c r="D65" s="36" t="s">
        <v>460</v>
      </c>
      <c r="E65" s="20" t="s">
        <v>353</v>
      </c>
      <c r="F65" s="19" t="s">
        <v>776</v>
      </c>
      <c r="G65" s="20" t="s">
        <v>777</v>
      </c>
      <c r="H65" s="31">
        <v>45691</v>
      </c>
      <c r="I65" s="24">
        <v>45762</v>
      </c>
      <c r="J65" s="24">
        <v>45762</v>
      </c>
      <c r="K65" s="25">
        <v>6250000</v>
      </c>
      <c r="L65" s="28"/>
      <c r="M65" s="25">
        <v>6250000</v>
      </c>
      <c r="N65" s="28"/>
      <c r="O65" s="28"/>
      <c r="P65" s="28"/>
    </row>
    <row r="66" spans="1:16" ht="67.5" customHeight="1">
      <c r="A66" s="19" t="s">
        <v>778</v>
      </c>
      <c r="B66" s="20" t="s">
        <v>779</v>
      </c>
      <c r="C66" s="36" t="s">
        <v>440</v>
      </c>
      <c r="D66" s="36">
        <v>1107079492</v>
      </c>
      <c r="E66" s="20" t="s">
        <v>353</v>
      </c>
      <c r="F66" s="19" t="s">
        <v>780</v>
      </c>
      <c r="G66" s="20" t="s">
        <v>781</v>
      </c>
      <c r="H66" s="31">
        <v>45691</v>
      </c>
      <c r="I66" s="24">
        <v>45762</v>
      </c>
      <c r="J66" s="24">
        <v>45762</v>
      </c>
      <c r="K66" s="25">
        <v>18750000</v>
      </c>
      <c r="L66" s="28"/>
      <c r="M66" s="25">
        <v>18750000</v>
      </c>
      <c r="N66" s="28"/>
      <c r="O66" s="28"/>
      <c r="P66" s="28"/>
    </row>
    <row r="67" spans="1:16" ht="67.5" customHeight="1">
      <c r="A67" s="19" t="s">
        <v>782</v>
      </c>
      <c r="B67" s="20" t="s">
        <v>758</v>
      </c>
      <c r="C67" s="20" t="s">
        <v>512</v>
      </c>
      <c r="D67" s="20">
        <v>1007452321</v>
      </c>
      <c r="E67" s="20" t="s">
        <v>353</v>
      </c>
      <c r="F67" s="19" t="s">
        <v>783</v>
      </c>
      <c r="G67" s="20" t="s">
        <v>784</v>
      </c>
      <c r="H67" s="31">
        <v>45691</v>
      </c>
      <c r="I67" s="24">
        <v>45762</v>
      </c>
      <c r="J67" s="24">
        <v>45762</v>
      </c>
      <c r="K67" s="25">
        <v>12062500</v>
      </c>
      <c r="L67" s="28"/>
      <c r="M67" s="25">
        <v>12062500</v>
      </c>
      <c r="N67" s="28"/>
      <c r="O67" s="28"/>
      <c r="P67" s="28"/>
    </row>
    <row r="68" spans="1:16" ht="67.5" customHeight="1">
      <c r="A68" s="19" t="s">
        <v>785</v>
      </c>
      <c r="B68" s="20" t="s">
        <v>765</v>
      </c>
      <c r="C68" s="36" t="s">
        <v>438</v>
      </c>
      <c r="D68" s="36" t="s">
        <v>439</v>
      </c>
      <c r="E68" s="20" t="s">
        <v>353</v>
      </c>
      <c r="F68" s="19" t="s">
        <v>786</v>
      </c>
      <c r="G68" s="19" t="s">
        <v>787</v>
      </c>
      <c r="H68" s="31">
        <v>45691</v>
      </c>
      <c r="I68" s="24">
        <v>45762</v>
      </c>
      <c r="J68" s="24">
        <v>45762</v>
      </c>
      <c r="K68" s="25">
        <v>11875000</v>
      </c>
      <c r="L68" s="28"/>
      <c r="M68" s="25">
        <v>11875000</v>
      </c>
      <c r="N68" s="28"/>
      <c r="O68" s="28"/>
      <c r="P68" s="28"/>
    </row>
    <row r="69" spans="1:16" ht="67.5" customHeight="1">
      <c r="A69" s="19" t="s">
        <v>788</v>
      </c>
      <c r="B69" s="20" t="s">
        <v>779</v>
      </c>
      <c r="C69" s="35" t="s">
        <v>378</v>
      </c>
      <c r="D69" s="36">
        <v>1116434379</v>
      </c>
      <c r="E69" s="20" t="s">
        <v>353</v>
      </c>
      <c r="F69" s="19" t="s">
        <v>789</v>
      </c>
      <c r="G69" s="19" t="s">
        <v>790</v>
      </c>
      <c r="H69" s="31">
        <v>45691</v>
      </c>
      <c r="I69" s="24">
        <v>45762</v>
      </c>
      <c r="J69" s="24">
        <v>45762</v>
      </c>
      <c r="K69" s="25">
        <v>18750000</v>
      </c>
      <c r="L69" s="28"/>
      <c r="M69" s="25">
        <v>18750000</v>
      </c>
      <c r="N69" s="28"/>
      <c r="O69" s="28"/>
      <c r="P69" s="28"/>
    </row>
    <row r="70" spans="1:16" ht="67.5" customHeight="1">
      <c r="A70" s="19" t="s">
        <v>791</v>
      </c>
      <c r="B70" s="20" t="s">
        <v>731</v>
      </c>
      <c r="C70" s="35" t="s">
        <v>431</v>
      </c>
      <c r="D70" s="36">
        <v>1113787145</v>
      </c>
      <c r="E70" s="20" t="s">
        <v>353</v>
      </c>
      <c r="F70" s="19" t="s">
        <v>792</v>
      </c>
      <c r="G70" s="19" t="s">
        <v>793</v>
      </c>
      <c r="H70" s="31">
        <v>45691</v>
      </c>
      <c r="I70" s="24">
        <v>45762</v>
      </c>
      <c r="J70" s="24">
        <v>45762</v>
      </c>
      <c r="K70" s="25">
        <v>6250000</v>
      </c>
      <c r="L70" s="28"/>
      <c r="M70" s="25">
        <v>6250000</v>
      </c>
      <c r="N70" s="28"/>
      <c r="O70" s="28"/>
      <c r="P70" s="28"/>
    </row>
    <row r="71" spans="1:16" ht="67.5" customHeight="1">
      <c r="A71" s="19" t="s">
        <v>794</v>
      </c>
      <c r="B71" s="20" t="s">
        <v>731</v>
      </c>
      <c r="C71" s="35" t="s">
        <v>389</v>
      </c>
      <c r="D71" s="36">
        <v>29775003</v>
      </c>
      <c r="E71" s="20" t="s">
        <v>353</v>
      </c>
      <c r="F71" s="19" t="s">
        <v>795</v>
      </c>
      <c r="G71" s="19" t="s">
        <v>796</v>
      </c>
      <c r="H71" s="31">
        <v>45691</v>
      </c>
      <c r="I71" s="24">
        <v>45762</v>
      </c>
      <c r="J71" s="24">
        <v>45762</v>
      </c>
      <c r="K71" s="25">
        <v>6250000</v>
      </c>
      <c r="L71" s="28"/>
      <c r="M71" s="25">
        <v>6250000</v>
      </c>
      <c r="N71" s="28"/>
      <c r="O71" s="28"/>
      <c r="P71" s="28"/>
    </row>
    <row r="72" spans="1:16" ht="67.5" customHeight="1">
      <c r="A72" s="19" t="s">
        <v>797</v>
      </c>
      <c r="B72" s="20" t="s">
        <v>731</v>
      </c>
      <c r="C72" s="35" t="s">
        <v>418</v>
      </c>
      <c r="D72" s="36">
        <v>1116445023</v>
      </c>
      <c r="E72" s="20" t="s">
        <v>353</v>
      </c>
      <c r="F72" s="19" t="s">
        <v>798</v>
      </c>
      <c r="G72" s="19" t="s">
        <v>799</v>
      </c>
      <c r="H72" s="31" t="s">
        <v>800</v>
      </c>
      <c r="I72" s="24">
        <v>45762</v>
      </c>
      <c r="J72" s="24">
        <v>45762</v>
      </c>
      <c r="K72" s="25">
        <v>6250000</v>
      </c>
      <c r="L72" s="28"/>
      <c r="M72" s="25">
        <v>6250000</v>
      </c>
      <c r="N72" s="28"/>
      <c r="O72" s="28"/>
      <c r="P72" s="28"/>
    </row>
    <row r="73" spans="1:16" ht="67.5" customHeight="1">
      <c r="A73" s="19" t="s">
        <v>801</v>
      </c>
      <c r="B73" s="20" t="s">
        <v>731</v>
      </c>
      <c r="C73" s="20" t="s">
        <v>384</v>
      </c>
      <c r="D73" s="36">
        <v>1113791610</v>
      </c>
      <c r="E73" s="20" t="s">
        <v>353</v>
      </c>
      <c r="F73" s="19" t="s">
        <v>802</v>
      </c>
      <c r="G73" s="19" t="s">
        <v>803</v>
      </c>
      <c r="H73" s="31" t="s">
        <v>800</v>
      </c>
      <c r="I73" s="24">
        <v>45762</v>
      </c>
      <c r="J73" s="24">
        <v>45762</v>
      </c>
      <c r="K73" s="25">
        <v>6250000</v>
      </c>
      <c r="L73" s="28"/>
      <c r="M73" s="25">
        <v>6250000</v>
      </c>
      <c r="N73" s="28"/>
      <c r="O73" s="28"/>
      <c r="P73" s="28"/>
    </row>
    <row r="74" spans="1:16" ht="67.5" customHeight="1">
      <c r="A74" s="19" t="s">
        <v>804</v>
      </c>
      <c r="B74" s="20" t="s">
        <v>805</v>
      </c>
      <c r="C74" s="20" t="s">
        <v>369</v>
      </c>
      <c r="D74" s="20">
        <v>1006290391</v>
      </c>
      <c r="E74" s="20" t="s">
        <v>353</v>
      </c>
      <c r="F74" s="19" t="s">
        <v>806</v>
      </c>
      <c r="G74" s="19" t="s">
        <v>807</v>
      </c>
      <c r="H74" s="31" t="s">
        <v>800</v>
      </c>
      <c r="I74" s="24">
        <v>45762</v>
      </c>
      <c r="J74" s="24">
        <v>45762</v>
      </c>
      <c r="K74" s="25">
        <v>12062500</v>
      </c>
      <c r="L74" s="28"/>
      <c r="M74" s="25">
        <v>12062500</v>
      </c>
      <c r="N74" s="28"/>
      <c r="O74" s="28"/>
      <c r="P74" s="28"/>
    </row>
    <row r="75" spans="1:16" ht="67.5" customHeight="1">
      <c r="A75" s="19" t="s">
        <v>808</v>
      </c>
      <c r="B75" s="20" t="s">
        <v>765</v>
      </c>
      <c r="C75" s="35" t="s">
        <v>393</v>
      </c>
      <c r="D75" s="36">
        <v>1113790651</v>
      </c>
      <c r="E75" s="20" t="s">
        <v>353</v>
      </c>
      <c r="F75" s="19" t="s">
        <v>809</v>
      </c>
      <c r="G75" s="19" t="s">
        <v>810</v>
      </c>
      <c r="H75" s="31" t="s">
        <v>800</v>
      </c>
      <c r="I75" s="24">
        <v>45762</v>
      </c>
      <c r="J75" s="24">
        <v>45762</v>
      </c>
      <c r="K75" s="25">
        <v>11875000</v>
      </c>
      <c r="L75" s="28"/>
      <c r="M75" s="25">
        <v>11875000</v>
      </c>
      <c r="N75" s="28"/>
      <c r="O75" s="28"/>
      <c r="P75" s="28"/>
    </row>
    <row r="76" spans="1:16" ht="67.5" customHeight="1">
      <c r="A76" s="19" t="s">
        <v>811</v>
      </c>
      <c r="B76" s="20" t="s">
        <v>731</v>
      </c>
      <c r="C76" s="36" t="s">
        <v>352</v>
      </c>
      <c r="D76" s="36">
        <v>1088734527</v>
      </c>
      <c r="E76" s="20" t="s">
        <v>353</v>
      </c>
      <c r="F76" s="19" t="s">
        <v>812</v>
      </c>
      <c r="G76" s="19" t="s">
        <v>813</v>
      </c>
      <c r="H76" s="31" t="s">
        <v>800</v>
      </c>
      <c r="I76" s="24">
        <v>45762</v>
      </c>
      <c r="J76" s="24">
        <v>45762</v>
      </c>
      <c r="K76" s="25">
        <v>6250000</v>
      </c>
      <c r="L76" s="28"/>
      <c r="M76" s="25">
        <v>6250000</v>
      </c>
      <c r="N76" s="28"/>
      <c r="O76" s="28"/>
      <c r="P76" s="28"/>
    </row>
    <row r="77" spans="1:16" ht="67.5" customHeight="1">
      <c r="A77" s="19" t="s">
        <v>814</v>
      </c>
      <c r="B77" s="20" t="s">
        <v>731</v>
      </c>
      <c r="C77" s="35" t="s">
        <v>502</v>
      </c>
      <c r="D77" s="36">
        <v>1113782085</v>
      </c>
      <c r="E77" s="20" t="s">
        <v>353</v>
      </c>
      <c r="F77" s="19" t="s">
        <v>815</v>
      </c>
      <c r="G77" s="19" t="s">
        <v>816</v>
      </c>
      <c r="H77" s="31" t="s">
        <v>800</v>
      </c>
      <c r="I77" s="24">
        <v>45762</v>
      </c>
      <c r="J77" s="24">
        <v>45762</v>
      </c>
      <c r="K77" s="25">
        <v>6250000</v>
      </c>
      <c r="L77" s="28"/>
      <c r="M77" s="25">
        <v>6250000</v>
      </c>
      <c r="N77" s="28"/>
      <c r="O77" s="28"/>
      <c r="P77" s="28"/>
    </row>
    <row r="78" spans="1:16" ht="67.5" customHeight="1">
      <c r="A78" s="19" t="s">
        <v>817</v>
      </c>
      <c r="B78" s="20" t="s">
        <v>779</v>
      </c>
      <c r="C78" s="35" t="s">
        <v>432</v>
      </c>
      <c r="D78" s="36">
        <v>1007820821</v>
      </c>
      <c r="E78" s="20" t="s">
        <v>353</v>
      </c>
      <c r="F78" s="19" t="s">
        <v>818</v>
      </c>
      <c r="G78" s="19" t="s">
        <v>819</v>
      </c>
      <c r="H78" s="31" t="s">
        <v>800</v>
      </c>
      <c r="I78" s="24">
        <v>45762</v>
      </c>
      <c r="J78" s="24">
        <v>45762</v>
      </c>
      <c r="K78" s="25">
        <v>18750000</v>
      </c>
      <c r="L78" s="28"/>
      <c r="M78" s="25">
        <v>18750000</v>
      </c>
      <c r="N78" s="28"/>
      <c r="O78" s="28"/>
      <c r="P78" s="28"/>
    </row>
    <row r="79" spans="1:16" ht="67.5" customHeight="1">
      <c r="A79" s="19" t="s">
        <v>820</v>
      </c>
      <c r="B79" s="20" t="s">
        <v>821</v>
      </c>
      <c r="C79" s="35" t="s">
        <v>492</v>
      </c>
      <c r="D79" s="36">
        <v>1007581090</v>
      </c>
      <c r="E79" s="20" t="s">
        <v>353</v>
      </c>
      <c r="F79" s="19" t="s">
        <v>822</v>
      </c>
      <c r="G79" s="19" t="s">
        <v>823</v>
      </c>
      <c r="H79" s="31" t="s">
        <v>800</v>
      </c>
      <c r="I79" s="24">
        <v>45762</v>
      </c>
      <c r="J79" s="24">
        <v>45762</v>
      </c>
      <c r="K79" s="25">
        <v>12062500</v>
      </c>
      <c r="L79" s="28"/>
      <c r="M79" s="25">
        <v>12062500</v>
      </c>
      <c r="N79" s="28"/>
      <c r="O79" s="28"/>
      <c r="P79" s="28"/>
    </row>
    <row r="80" spans="1:16" ht="67.5" customHeight="1">
      <c r="A80" s="19" t="s">
        <v>824</v>
      </c>
      <c r="B80" s="20" t="s">
        <v>731</v>
      </c>
      <c r="C80" s="36" t="s">
        <v>482</v>
      </c>
      <c r="D80" s="36">
        <v>1113788385</v>
      </c>
      <c r="E80" s="20" t="s">
        <v>353</v>
      </c>
      <c r="F80" s="19" t="s">
        <v>825</v>
      </c>
      <c r="G80" s="19" t="s">
        <v>826</v>
      </c>
      <c r="H80" s="31" t="s">
        <v>800</v>
      </c>
      <c r="I80" s="24">
        <v>45762</v>
      </c>
      <c r="J80" s="24">
        <v>45762</v>
      </c>
      <c r="K80" s="25">
        <v>6250000</v>
      </c>
      <c r="L80" s="28"/>
      <c r="M80" s="25">
        <v>6250000</v>
      </c>
      <c r="N80" s="28"/>
      <c r="O80" s="28"/>
      <c r="P80" s="28"/>
    </row>
    <row r="81" spans="1:16" ht="67.5" customHeight="1">
      <c r="A81" s="19" t="s">
        <v>827</v>
      </c>
      <c r="B81" s="20" t="s">
        <v>765</v>
      </c>
      <c r="C81" s="35" t="s">
        <v>453</v>
      </c>
      <c r="D81" s="36">
        <v>1116448482</v>
      </c>
      <c r="E81" s="20" t="s">
        <v>353</v>
      </c>
      <c r="F81" s="19" t="s">
        <v>828</v>
      </c>
      <c r="G81" s="19" t="s">
        <v>829</v>
      </c>
      <c r="H81" s="31" t="s">
        <v>800</v>
      </c>
      <c r="I81" s="24">
        <v>45762</v>
      </c>
      <c r="J81" s="24">
        <v>45762</v>
      </c>
      <c r="K81" s="25">
        <v>11875000</v>
      </c>
      <c r="L81" s="28"/>
      <c r="M81" s="25">
        <v>11875000</v>
      </c>
      <c r="N81" s="28"/>
      <c r="O81" s="28"/>
      <c r="P81" s="28"/>
    </row>
    <row r="82" spans="1:16" ht="67.5" customHeight="1">
      <c r="A82" s="19" t="s">
        <v>830</v>
      </c>
      <c r="B82" s="20" t="s">
        <v>731</v>
      </c>
      <c r="C82" s="35" t="s">
        <v>430</v>
      </c>
      <c r="D82" s="36">
        <v>1006592827</v>
      </c>
      <c r="E82" s="20" t="s">
        <v>353</v>
      </c>
      <c r="F82" s="19" t="s">
        <v>831</v>
      </c>
      <c r="G82" s="19" t="s">
        <v>832</v>
      </c>
      <c r="H82" s="31" t="s">
        <v>800</v>
      </c>
      <c r="I82" s="24">
        <v>45762</v>
      </c>
      <c r="J82" s="24">
        <v>45762</v>
      </c>
      <c r="K82" s="25">
        <v>6250000</v>
      </c>
      <c r="L82" s="28"/>
      <c r="M82" s="25">
        <v>6250000</v>
      </c>
      <c r="N82" s="28"/>
      <c r="O82" s="28"/>
      <c r="P82" s="28"/>
    </row>
    <row r="83" spans="1:16" ht="67.5" customHeight="1">
      <c r="A83" s="19" t="s">
        <v>833</v>
      </c>
      <c r="B83" s="20" t="s">
        <v>834</v>
      </c>
      <c r="C83" s="20" t="s">
        <v>354</v>
      </c>
      <c r="D83" s="20" t="s">
        <v>355</v>
      </c>
      <c r="E83" s="20" t="s">
        <v>356</v>
      </c>
      <c r="F83" s="19" t="s">
        <v>835</v>
      </c>
      <c r="G83" s="19" t="s">
        <v>836</v>
      </c>
      <c r="H83" s="31">
        <v>45693</v>
      </c>
      <c r="I83" s="24">
        <v>46022</v>
      </c>
      <c r="J83" s="24">
        <v>46022</v>
      </c>
      <c r="K83" s="25">
        <v>80000000</v>
      </c>
      <c r="L83" s="28"/>
      <c r="M83" s="25">
        <v>80000000</v>
      </c>
      <c r="N83" s="28"/>
      <c r="O83" s="28"/>
      <c r="P83" s="28"/>
    </row>
    <row r="84" spans="1:16" ht="67.5" customHeight="1">
      <c r="A84" s="19" t="s">
        <v>837</v>
      </c>
      <c r="B84" s="20" t="s">
        <v>765</v>
      </c>
      <c r="C84" s="35" t="s">
        <v>480</v>
      </c>
      <c r="D84" s="36">
        <v>1006289951</v>
      </c>
      <c r="E84" s="20" t="s">
        <v>353</v>
      </c>
      <c r="F84" s="19" t="s">
        <v>838</v>
      </c>
      <c r="G84" s="19" t="s">
        <v>839</v>
      </c>
      <c r="H84" s="31">
        <v>45693</v>
      </c>
      <c r="I84" s="24">
        <v>45762</v>
      </c>
      <c r="J84" s="24">
        <v>45762</v>
      </c>
      <c r="K84" s="25">
        <v>11875000</v>
      </c>
      <c r="L84" s="28"/>
      <c r="M84" s="25">
        <v>11875000</v>
      </c>
      <c r="N84" s="28"/>
      <c r="O84" s="28"/>
      <c r="P84" s="28"/>
    </row>
    <row r="85" spans="1:16" ht="67.5" customHeight="1">
      <c r="A85" s="19" t="s">
        <v>840</v>
      </c>
      <c r="B85" s="20" t="s">
        <v>772</v>
      </c>
      <c r="C85" s="35" t="s">
        <v>385</v>
      </c>
      <c r="D85" s="36">
        <v>1116447295</v>
      </c>
      <c r="E85" s="20" t="s">
        <v>353</v>
      </c>
      <c r="F85" s="19" t="s">
        <v>841</v>
      </c>
      <c r="G85" s="19" t="s">
        <v>842</v>
      </c>
      <c r="H85" s="31">
        <v>45693</v>
      </c>
      <c r="I85" s="24">
        <v>45762</v>
      </c>
      <c r="J85" s="24">
        <v>45762</v>
      </c>
      <c r="K85" s="25">
        <v>15000000</v>
      </c>
      <c r="L85" s="28"/>
      <c r="M85" s="25">
        <v>15000000</v>
      </c>
      <c r="N85" s="28"/>
      <c r="O85" s="28"/>
      <c r="P85" s="28"/>
    </row>
    <row r="86" spans="1:16" ht="67.5" customHeight="1">
      <c r="A86" s="19" t="s">
        <v>843</v>
      </c>
      <c r="B86" s="20" t="s">
        <v>731</v>
      </c>
      <c r="C86" s="35" t="s">
        <v>844</v>
      </c>
      <c r="D86" s="36">
        <v>1113792252</v>
      </c>
      <c r="E86" s="20" t="s">
        <v>353</v>
      </c>
      <c r="F86" s="19" t="s">
        <v>845</v>
      </c>
      <c r="G86" s="19" t="s">
        <v>846</v>
      </c>
      <c r="H86" s="31">
        <v>45693</v>
      </c>
      <c r="I86" s="24">
        <v>45762</v>
      </c>
      <c r="J86" s="24">
        <v>45762</v>
      </c>
      <c r="K86" s="25">
        <v>6250000</v>
      </c>
      <c r="L86" s="28"/>
      <c r="M86" s="25">
        <v>6250000</v>
      </c>
      <c r="N86" s="28"/>
      <c r="O86" s="28"/>
      <c r="P86" s="28"/>
    </row>
    <row r="87" spans="1:16" ht="67.5" customHeight="1">
      <c r="A87" s="19" t="s">
        <v>847</v>
      </c>
      <c r="B87" s="20" t="s">
        <v>779</v>
      </c>
      <c r="C87" s="35" t="s">
        <v>404</v>
      </c>
      <c r="D87" s="36">
        <v>1113788186</v>
      </c>
      <c r="E87" s="20" t="s">
        <v>353</v>
      </c>
      <c r="F87" s="19" t="s">
        <v>848</v>
      </c>
      <c r="G87" s="19" t="s">
        <v>849</v>
      </c>
      <c r="H87" s="31">
        <v>45693</v>
      </c>
      <c r="I87" s="24">
        <v>45762</v>
      </c>
      <c r="J87" s="24">
        <v>45762</v>
      </c>
      <c r="K87" s="25">
        <v>18750000</v>
      </c>
      <c r="L87" s="28"/>
      <c r="M87" s="25">
        <v>18750000</v>
      </c>
      <c r="N87" s="28"/>
      <c r="O87" s="28"/>
      <c r="P87" s="28"/>
    </row>
    <row r="88" spans="1:16" ht="67.5" customHeight="1">
      <c r="A88" s="19" t="s">
        <v>850</v>
      </c>
      <c r="B88" s="20" t="s">
        <v>765</v>
      </c>
      <c r="C88" s="36" t="s">
        <v>405</v>
      </c>
      <c r="D88" s="36">
        <v>66873235</v>
      </c>
      <c r="E88" s="20" t="s">
        <v>353</v>
      </c>
      <c r="F88" s="19" t="s">
        <v>851</v>
      </c>
      <c r="G88" s="19" t="s">
        <v>852</v>
      </c>
      <c r="H88" s="31">
        <v>45693</v>
      </c>
      <c r="I88" s="24">
        <v>45762</v>
      </c>
      <c r="J88" s="24">
        <v>45762</v>
      </c>
      <c r="K88" s="25">
        <v>11875000</v>
      </c>
      <c r="L88" s="28"/>
      <c r="M88" s="25">
        <v>11875000</v>
      </c>
      <c r="N88" s="28"/>
      <c r="O88" s="28"/>
      <c r="P88" s="28"/>
    </row>
    <row r="89" spans="1:16" ht="67.5" customHeight="1">
      <c r="A89" s="19" t="s">
        <v>853</v>
      </c>
      <c r="B89" s="20" t="s">
        <v>731</v>
      </c>
      <c r="C89" s="35" t="s">
        <v>450</v>
      </c>
      <c r="D89" s="36">
        <v>1006289701</v>
      </c>
      <c r="E89" s="20" t="s">
        <v>353</v>
      </c>
      <c r="F89" s="19" t="s">
        <v>854</v>
      </c>
      <c r="G89" s="19" t="s">
        <v>855</v>
      </c>
      <c r="H89" s="31">
        <v>45693</v>
      </c>
      <c r="I89" s="24">
        <v>45762</v>
      </c>
      <c r="J89" s="24">
        <v>45762</v>
      </c>
      <c r="K89" s="25">
        <v>6250000</v>
      </c>
      <c r="L89" s="28"/>
      <c r="M89" s="25">
        <v>6250000</v>
      </c>
      <c r="N89" s="28"/>
      <c r="O89" s="28"/>
      <c r="P89" s="28"/>
    </row>
    <row r="90" spans="1:16" ht="67.5" customHeight="1">
      <c r="A90" s="19" t="s">
        <v>856</v>
      </c>
      <c r="B90" s="30" t="s">
        <v>731</v>
      </c>
      <c r="C90" s="42" t="s">
        <v>857</v>
      </c>
      <c r="D90" s="40">
        <v>1113787643</v>
      </c>
      <c r="E90" s="20" t="s">
        <v>353</v>
      </c>
      <c r="F90" s="19" t="s">
        <v>858</v>
      </c>
      <c r="G90" s="19" t="s">
        <v>859</v>
      </c>
      <c r="H90" s="31">
        <v>45693</v>
      </c>
      <c r="I90" s="24">
        <v>45762</v>
      </c>
      <c r="J90" s="24">
        <v>45762</v>
      </c>
      <c r="K90" s="25">
        <v>6250000</v>
      </c>
      <c r="L90" s="28"/>
      <c r="M90" s="25">
        <v>6250000</v>
      </c>
      <c r="N90" s="28"/>
      <c r="O90" s="28"/>
      <c r="P90" s="28"/>
    </row>
    <row r="91" spans="1:16" ht="67.5" customHeight="1">
      <c r="A91" s="19" t="s">
        <v>860</v>
      </c>
      <c r="B91" s="30" t="s">
        <v>772</v>
      </c>
      <c r="C91" s="40" t="s">
        <v>417</v>
      </c>
      <c r="D91" s="40">
        <v>1113787109</v>
      </c>
      <c r="E91" s="20" t="s">
        <v>353</v>
      </c>
      <c r="F91" s="19" t="s">
        <v>861</v>
      </c>
      <c r="G91" s="19" t="s">
        <v>862</v>
      </c>
      <c r="H91" s="31">
        <v>45694</v>
      </c>
      <c r="I91" s="24">
        <v>45762</v>
      </c>
      <c r="J91" s="24">
        <v>45762</v>
      </c>
      <c r="K91" s="25">
        <v>15000000</v>
      </c>
      <c r="L91" s="28"/>
      <c r="M91" s="25">
        <v>15000000</v>
      </c>
      <c r="N91" s="28"/>
      <c r="O91" s="28"/>
      <c r="P91" s="28"/>
    </row>
    <row r="92" spans="1:16" ht="67.5" customHeight="1">
      <c r="A92" s="19" t="s">
        <v>863</v>
      </c>
      <c r="B92" s="30" t="s">
        <v>779</v>
      </c>
      <c r="C92" s="42" t="s">
        <v>398</v>
      </c>
      <c r="D92" s="40">
        <v>6558805</v>
      </c>
      <c r="E92" s="20" t="s">
        <v>353</v>
      </c>
      <c r="F92" s="19" t="s">
        <v>864</v>
      </c>
      <c r="G92" s="19" t="s">
        <v>865</v>
      </c>
      <c r="H92" s="31">
        <v>45694</v>
      </c>
      <c r="I92" s="24">
        <v>45762</v>
      </c>
      <c r="J92" s="24">
        <v>45762</v>
      </c>
      <c r="K92" s="25">
        <v>18750000</v>
      </c>
      <c r="L92" s="28"/>
      <c r="M92" s="25">
        <v>18750000</v>
      </c>
      <c r="N92" s="28"/>
      <c r="O92" s="28"/>
      <c r="P92" s="28"/>
    </row>
    <row r="93" spans="1:16" ht="67.5" customHeight="1">
      <c r="A93" s="19" t="s">
        <v>866</v>
      </c>
      <c r="B93" s="30" t="s">
        <v>731</v>
      </c>
      <c r="C93" s="42" t="s">
        <v>441</v>
      </c>
      <c r="D93" s="40">
        <v>1116434150</v>
      </c>
      <c r="E93" s="20" t="s">
        <v>353</v>
      </c>
      <c r="F93" s="19" t="s">
        <v>867</v>
      </c>
      <c r="G93" s="19" t="s">
        <v>868</v>
      </c>
      <c r="H93" s="31">
        <v>45694</v>
      </c>
      <c r="I93" s="24">
        <v>45762</v>
      </c>
      <c r="J93" s="24">
        <v>45762</v>
      </c>
      <c r="K93" s="25">
        <v>6250000</v>
      </c>
      <c r="L93" s="28"/>
      <c r="M93" s="25">
        <v>6250000</v>
      </c>
      <c r="N93" s="28"/>
      <c r="O93" s="28"/>
      <c r="P93" s="28"/>
    </row>
    <row r="94" spans="1:16" ht="67.5" customHeight="1">
      <c r="A94" s="19" t="s">
        <v>869</v>
      </c>
      <c r="B94" s="30" t="s">
        <v>870</v>
      </c>
      <c r="C94" s="20" t="s">
        <v>457</v>
      </c>
      <c r="D94" s="20">
        <v>29775529</v>
      </c>
      <c r="E94" s="20" t="s">
        <v>353</v>
      </c>
      <c r="F94" s="19" t="s">
        <v>871</v>
      </c>
      <c r="G94" s="19" t="s">
        <v>872</v>
      </c>
      <c r="H94" s="31">
        <v>45694</v>
      </c>
      <c r="I94" s="24">
        <v>45762</v>
      </c>
      <c r="J94" s="24">
        <v>45762</v>
      </c>
      <c r="K94" s="25">
        <v>12062500</v>
      </c>
      <c r="L94" s="28"/>
      <c r="M94" s="25">
        <v>12062500</v>
      </c>
      <c r="N94" s="28"/>
      <c r="O94" s="28"/>
      <c r="P94" s="28"/>
    </row>
    <row r="95" spans="1:16" ht="67.5" customHeight="1">
      <c r="A95" s="19" t="s">
        <v>873</v>
      </c>
      <c r="B95" s="20" t="s">
        <v>758</v>
      </c>
      <c r="C95" s="35" t="s">
        <v>458</v>
      </c>
      <c r="D95" s="36">
        <v>1130622140</v>
      </c>
      <c r="E95" s="20" t="s">
        <v>353</v>
      </c>
      <c r="F95" s="19" t="s">
        <v>874</v>
      </c>
      <c r="G95" s="19" t="s">
        <v>875</v>
      </c>
      <c r="H95" s="31">
        <v>45694</v>
      </c>
      <c r="I95" s="24">
        <v>45762</v>
      </c>
      <c r="J95" s="24">
        <v>45762</v>
      </c>
      <c r="K95" s="25">
        <v>12062500</v>
      </c>
      <c r="L95" s="28"/>
      <c r="M95" s="25">
        <v>12062500</v>
      </c>
      <c r="N95" s="28"/>
      <c r="O95" s="46"/>
      <c r="P95" s="28"/>
    </row>
    <row r="96" spans="1:16" ht="67.5" customHeight="1">
      <c r="A96" s="19" t="s">
        <v>876</v>
      </c>
      <c r="B96" s="20" t="s">
        <v>877</v>
      </c>
      <c r="C96" s="36" t="s">
        <v>454</v>
      </c>
      <c r="D96" s="36" t="s">
        <v>455</v>
      </c>
      <c r="E96" s="20" t="s">
        <v>353</v>
      </c>
      <c r="F96" s="19" t="s">
        <v>878</v>
      </c>
      <c r="G96" s="22" t="s">
        <v>879</v>
      </c>
      <c r="H96" s="31">
        <v>45695</v>
      </c>
      <c r="I96" s="24">
        <v>45762</v>
      </c>
      <c r="J96" s="24">
        <v>45762</v>
      </c>
      <c r="K96" s="25">
        <v>15000000</v>
      </c>
      <c r="L96" s="28"/>
      <c r="M96" s="25">
        <v>15000000</v>
      </c>
      <c r="N96" s="28"/>
      <c r="O96" s="28"/>
      <c r="P96" s="28"/>
    </row>
    <row r="97" spans="1:16" ht="67.5" customHeight="1">
      <c r="A97" s="22" t="s">
        <v>880</v>
      </c>
      <c r="B97" s="30" t="s">
        <v>881</v>
      </c>
      <c r="C97" s="42" t="s">
        <v>357</v>
      </c>
      <c r="D97" s="40">
        <v>1006238908</v>
      </c>
      <c r="E97" s="30" t="s">
        <v>353</v>
      </c>
      <c r="F97" s="22" t="s">
        <v>882</v>
      </c>
      <c r="G97" s="22" t="s">
        <v>883</v>
      </c>
      <c r="H97" s="47">
        <v>45695</v>
      </c>
      <c r="I97" s="32">
        <v>45762</v>
      </c>
      <c r="J97" s="32">
        <v>45762</v>
      </c>
      <c r="K97" s="41">
        <v>6250000</v>
      </c>
      <c r="L97" s="28"/>
      <c r="M97" s="41">
        <v>6250000</v>
      </c>
      <c r="N97" s="28"/>
      <c r="O97" s="28"/>
      <c r="P97" s="28"/>
    </row>
    <row r="98" spans="1:16" ht="67.5" customHeight="1">
      <c r="A98" s="22" t="s">
        <v>884</v>
      </c>
      <c r="B98" s="30" t="s">
        <v>731</v>
      </c>
      <c r="C98" s="35" t="s">
        <v>885</v>
      </c>
      <c r="D98" s="36">
        <v>1119150317</v>
      </c>
      <c r="E98" s="30" t="s">
        <v>353</v>
      </c>
      <c r="F98" s="22" t="s">
        <v>886</v>
      </c>
      <c r="G98" s="20" t="s">
        <v>887</v>
      </c>
      <c r="H98" s="47">
        <v>45695</v>
      </c>
      <c r="I98" s="32">
        <v>45762</v>
      </c>
      <c r="J98" s="32">
        <v>45762</v>
      </c>
      <c r="K98" s="41">
        <v>6250000</v>
      </c>
      <c r="L98" s="28"/>
      <c r="M98" s="41">
        <v>6250000</v>
      </c>
      <c r="N98" s="28"/>
      <c r="O98" s="28"/>
      <c r="P98" s="28"/>
    </row>
    <row r="99" spans="1:16" ht="67.5" customHeight="1">
      <c r="A99" s="22" t="s">
        <v>888</v>
      </c>
      <c r="B99" s="30" t="s">
        <v>772</v>
      </c>
      <c r="C99" s="35" t="s">
        <v>424</v>
      </c>
      <c r="D99" s="36">
        <v>14636116</v>
      </c>
      <c r="E99" s="30" t="s">
        <v>353</v>
      </c>
      <c r="F99" s="22" t="s">
        <v>889</v>
      </c>
      <c r="G99" s="19" t="s">
        <v>890</v>
      </c>
      <c r="H99" s="47">
        <v>45695</v>
      </c>
      <c r="I99" s="32">
        <v>45762</v>
      </c>
      <c r="J99" s="32">
        <v>45762</v>
      </c>
      <c r="K99" s="41">
        <v>15000000</v>
      </c>
      <c r="L99" s="28"/>
      <c r="M99" s="41">
        <v>15000000</v>
      </c>
      <c r="N99" s="28"/>
      <c r="O99" s="28"/>
      <c r="P99" s="28"/>
    </row>
    <row r="100" spans="1:16" ht="67.5" customHeight="1">
      <c r="A100" s="22" t="s">
        <v>891</v>
      </c>
      <c r="B100" s="30" t="s">
        <v>772</v>
      </c>
      <c r="C100" s="35" t="s">
        <v>892</v>
      </c>
      <c r="D100" s="36">
        <v>1006238956</v>
      </c>
      <c r="E100" s="30" t="s">
        <v>353</v>
      </c>
      <c r="F100" s="22" t="s">
        <v>893</v>
      </c>
      <c r="G100" s="20" t="s">
        <v>894</v>
      </c>
      <c r="H100" s="47">
        <v>45699</v>
      </c>
      <c r="I100" s="32">
        <v>45762</v>
      </c>
      <c r="J100" s="32">
        <v>45762</v>
      </c>
      <c r="K100" s="41">
        <v>15000000</v>
      </c>
      <c r="L100" s="28"/>
      <c r="M100" s="41">
        <v>15000000</v>
      </c>
      <c r="N100" s="28"/>
      <c r="O100" s="28"/>
      <c r="P100" s="28"/>
    </row>
    <row r="101" spans="1:16" ht="67.5" customHeight="1">
      <c r="A101" s="22" t="s">
        <v>895</v>
      </c>
      <c r="B101" s="30" t="s">
        <v>896</v>
      </c>
      <c r="C101" s="20" t="s">
        <v>415</v>
      </c>
      <c r="D101" s="20" t="s">
        <v>416</v>
      </c>
      <c r="E101" s="30" t="s">
        <v>361</v>
      </c>
      <c r="F101" s="22" t="s">
        <v>897</v>
      </c>
      <c r="G101" s="19" t="s">
        <v>898</v>
      </c>
      <c r="H101" s="47">
        <v>45700</v>
      </c>
      <c r="I101" s="32">
        <v>45762</v>
      </c>
      <c r="J101" s="32">
        <v>45762</v>
      </c>
      <c r="K101" s="41">
        <v>40000000</v>
      </c>
      <c r="L101" s="48"/>
      <c r="M101" s="41">
        <v>40000000</v>
      </c>
      <c r="N101" s="28"/>
      <c r="O101" s="28"/>
      <c r="P101" s="28"/>
    </row>
    <row r="102" spans="1:16" ht="67.5" customHeight="1">
      <c r="A102" s="22" t="s">
        <v>899</v>
      </c>
      <c r="B102" s="30" t="s">
        <v>900</v>
      </c>
      <c r="C102" s="20" t="s">
        <v>468</v>
      </c>
      <c r="D102" s="21" t="s">
        <v>469</v>
      </c>
      <c r="E102" s="20" t="s">
        <v>470</v>
      </c>
      <c r="F102" s="22" t="s">
        <v>901</v>
      </c>
      <c r="G102" s="19" t="s">
        <v>902</v>
      </c>
      <c r="H102" s="47">
        <v>45705</v>
      </c>
      <c r="I102" s="47">
        <v>46022</v>
      </c>
      <c r="J102" s="47">
        <v>46022</v>
      </c>
      <c r="K102" s="41">
        <v>59262000</v>
      </c>
      <c r="L102" s="48"/>
      <c r="M102" s="41">
        <v>59262000</v>
      </c>
      <c r="N102" s="28"/>
      <c r="O102" s="28"/>
      <c r="P102" s="28"/>
    </row>
    <row r="103" spans="1:16" ht="67.5" customHeight="1">
      <c r="A103" s="19" t="s">
        <v>903</v>
      </c>
      <c r="B103" s="20" t="s">
        <v>509</v>
      </c>
      <c r="C103" s="20" t="s">
        <v>510</v>
      </c>
      <c r="D103" s="21" t="s">
        <v>511</v>
      </c>
      <c r="E103" s="20" t="s">
        <v>356</v>
      </c>
      <c r="F103" s="19" t="s">
        <v>904</v>
      </c>
      <c r="G103" s="19" t="s">
        <v>905</v>
      </c>
      <c r="H103" s="47">
        <v>45705</v>
      </c>
      <c r="I103" s="47">
        <v>46022</v>
      </c>
      <c r="J103" s="47">
        <v>46022</v>
      </c>
      <c r="K103" s="41">
        <v>154256466</v>
      </c>
      <c r="L103" s="28"/>
      <c r="M103" s="41">
        <v>154256466</v>
      </c>
      <c r="N103" s="28"/>
      <c r="O103" s="28"/>
      <c r="P103" s="28"/>
    </row>
    <row r="104" spans="1:16" ht="67.5" customHeight="1">
      <c r="A104" s="22" t="s">
        <v>906</v>
      </c>
      <c r="B104" s="30" t="s">
        <v>400</v>
      </c>
      <c r="C104" s="30" t="s">
        <v>401</v>
      </c>
      <c r="D104" s="37" t="s">
        <v>402</v>
      </c>
      <c r="E104" s="30" t="s">
        <v>361</v>
      </c>
      <c r="F104" s="22" t="s">
        <v>907</v>
      </c>
      <c r="G104" s="20" t="s">
        <v>908</v>
      </c>
      <c r="H104" s="47">
        <v>45705</v>
      </c>
      <c r="I104" s="47">
        <v>46022</v>
      </c>
      <c r="J104" s="47">
        <v>46022</v>
      </c>
      <c r="K104" s="41">
        <v>30700000</v>
      </c>
      <c r="L104" s="28"/>
      <c r="M104" s="41">
        <v>30700000</v>
      </c>
      <c r="N104" s="28"/>
      <c r="O104" s="28"/>
      <c r="P104" s="28"/>
    </row>
    <row r="105" spans="1:16" ht="67.5" customHeight="1">
      <c r="A105" s="22" t="s">
        <v>909</v>
      </c>
      <c r="B105" s="30" t="s">
        <v>367</v>
      </c>
      <c r="C105" s="42" t="s">
        <v>397</v>
      </c>
      <c r="D105" s="40">
        <v>1130632570</v>
      </c>
      <c r="E105" s="20" t="s">
        <v>353</v>
      </c>
      <c r="F105" s="22" t="s">
        <v>910</v>
      </c>
      <c r="G105" s="20" t="s">
        <v>911</v>
      </c>
      <c r="H105" s="47">
        <v>45705</v>
      </c>
      <c r="I105" s="32">
        <v>45762</v>
      </c>
      <c r="J105" s="32">
        <v>45762</v>
      </c>
      <c r="K105" s="41">
        <v>12000000</v>
      </c>
      <c r="L105" s="28"/>
      <c r="M105" s="41">
        <v>12000000</v>
      </c>
      <c r="N105" s="28"/>
      <c r="O105" s="28"/>
      <c r="P105" s="28"/>
    </row>
    <row r="106" spans="1:16" ht="67.5" customHeight="1">
      <c r="A106" s="22" t="s">
        <v>912</v>
      </c>
      <c r="B106" s="30" t="s">
        <v>423</v>
      </c>
      <c r="C106" s="20" t="s">
        <v>913</v>
      </c>
      <c r="D106" s="20" t="s">
        <v>914</v>
      </c>
      <c r="E106" s="20" t="s">
        <v>361</v>
      </c>
      <c r="F106" s="22" t="s">
        <v>915</v>
      </c>
      <c r="G106" s="20" t="s">
        <v>916</v>
      </c>
      <c r="H106" s="47">
        <v>45707</v>
      </c>
      <c r="I106" s="47">
        <v>46022</v>
      </c>
      <c r="J106" s="47">
        <v>46022</v>
      </c>
      <c r="K106" s="41">
        <v>56100000</v>
      </c>
      <c r="L106" s="28"/>
      <c r="M106" s="25">
        <v>56100000</v>
      </c>
      <c r="N106" s="28"/>
      <c r="O106" s="28"/>
      <c r="P106" s="28"/>
    </row>
    <row r="107" spans="1:16" ht="67.5" customHeight="1">
      <c r="A107" s="22" t="s">
        <v>917</v>
      </c>
      <c r="B107" s="30" t="s">
        <v>918</v>
      </c>
      <c r="C107" s="33" t="s">
        <v>471</v>
      </c>
      <c r="D107" s="36" t="s">
        <v>472</v>
      </c>
      <c r="E107" s="20" t="s">
        <v>361</v>
      </c>
      <c r="F107" s="22" t="s">
        <v>919</v>
      </c>
      <c r="G107" s="30" t="s">
        <v>920</v>
      </c>
      <c r="H107" s="47">
        <v>45708</v>
      </c>
      <c r="I107" s="32">
        <v>45762</v>
      </c>
      <c r="J107" s="32">
        <v>45762</v>
      </c>
      <c r="K107" s="41">
        <v>43102495</v>
      </c>
      <c r="L107" s="28"/>
      <c r="M107" s="41">
        <v>43102495</v>
      </c>
      <c r="N107" s="28"/>
      <c r="O107" s="28"/>
      <c r="P107" s="28"/>
    </row>
    <row r="108" spans="1:16" ht="67.5" customHeight="1">
      <c r="A108" s="22" t="s">
        <v>921</v>
      </c>
      <c r="B108" s="30" t="s">
        <v>473</v>
      </c>
      <c r="C108" s="33" t="s">
        <v>471</v>
      </c>
      <c r="D108" s="36" t="s">
        <v>472</v>
      </c>
      <c r="E108" s="20" t="s">
        <v>361</v>
      </c>
      <c r="F108" s="22" t="s">
        <v>922</v>
      </c>
      <c r="G108" s="30" t="s">
        <v>923</v>
      </c>
      <c r="H108" s="47">
        <v>45708</v>
      </c>
      <c r="I108" s="47">
        <v>46022</v>
      </c>
      <c r="J108" s="47">
        <v>46022</v>
      </c>
      <c r="K108" s="41">
        <v>100000000</v>
      </c>
      <c r="L108" s="48"/>
      <c r="M108" s="41">
        <v>100000000</v>
      </c>
      <c r="N108" s="28"/>
      <c r="O108" s="28"/>
      <c r="P108" s="28"/>
    </row>
    <row r="109" spans="1:16" ht="67.5" customHeight="1">
      <c r="A109" s="22" t="s">
        <v>924</v>
      </c>
      <c r="B109" s="30" t="s">
        <v>925</v>
      </c>
      <c r="C109" s="20" t="s">
        <v>413</v>
      </c>
      <c r="D109" s="21" t="s">
        <v>414</v>
      </c>
      <c r="E109" s="20" t="s">
        <v>353</v>
      </c>
      <c r="F109" s="22" t="s">
        <v>926</v>
      </c>
      <c r="G109" s="30" t="s">
        <v>927</v>
      </c>
      <c r="H109" s="47">
        <v>45713</v>
      </c>
      <c r="I109" s="47">
        <v>45961</v>
      </c>
      <c r="J109" s="47">
        <v>46022</v>
      </c>
      <c r="K109" s="41">
        <v>80000000</v>
      </c>
      <c r="L109" s="48"/>
      <c r="M109" s="41">
        <v>80000000</v>
      </c>
      <c r="N109" s="24">
        <v>45947</v>
      </c>
      <c r="O109" s="28"/>
      <c r="P109" s="28"/>
    </row>
    <row r="110" spans="1:16" ht="67.5" customHeight="1">
      <c r="A110" s="19" t="s">
        <v>928</v>
      </c>
      <c r="B110" s="20" t="s">
        <v>929</v>
      </c>
      <c r="C110" s="20" t="s">
        <v>930</v>
      </c>
      <c r="D110" s="21" t="s">
        <v>931</v>
      </c>
      <c r="E110" s="20" t="s">
        <v>353</v>
      </c>
      <c r="F110" s="19" t="s">
        <v>932</v>
      </c>
      <c r="G110" s="20" t="s">
        <v>933</v>
      </c>
      <c r="H110" s="31">
        <v>45714</v>
      </c>
      <c r="I110" s="31">
        <v>46022</v>
      </c>
      <c r="J110" s="31">
        <v>46022</v>
      </c>
      <c r="K110" s="25">
        <v>60000000</v>
      </c>
      <c r="L110" s="25">
        <v>30000000</v>
      </c>
      <c r="M110" s="25">
        <f>K110+L110</f>
        <v>90000000</v>
      </c>
      <c r="N110" s="24">
        <v>45897</v>
      </c>
      <c r="O110" s="27" t="s">
        <v>934</v>
      </c>
      <c r="P110" s="23" t="s">
        <v>935</v>
      </c>
    </row>
    <row r="111" spans="1:16" ht="67.5" customHeight="1">
      <c r="A111" s="19" t="s">
        <v>936</v>
      </c>
      <c r="B111" s="20" t="s">
        <v>486</v>
      </c>
      <c r="C111" s="20" t="s">
        <v>487</v>
      </c>
      <c r="D111" s="21" t="s">
        <v>488</v>
      </c>
      <c r="E111" s="20" t="s">
        <v>353</v>
      </c>
      <c r="F111" s="19" t="s">
        <v>937</v>
      </c>
      <c r="G111" s="30" t="s">
        <v>938</v>
      </c>
      <c r="H111" s="31">
        <v>45716</v>
      </c>
      <c r="I111" s="31">
        <v>46022</v>
      </c>
      <c r="J111" s="31">
        <v>46022</v>
      </c>
      <c r="K111" s="25">
        <v>315000000</v>
      </c>
      <c r="L111" s="28"/>
      <c r="M111" s="25">
        <v>315000000</v>
      </c>
      <c r="N111" s="28"/>
      <c r="O111" s="28"/>
      <c r="P111" s="28"/>
    </row>
    <row r="112" spans="1:16" ht="67.5" customHeight="1">
      <c r="A112" s="19" t="s">
        <v>939</v>
      </c>
      <c r="B112" s="20" t="s">
        <v>731</v>
      </c>
      <c r="C112" s="20" t="s">
        <v>940</v>
      </c>
      <c r="D112" s="21">
        <v>1113785026</v>
      </c>
      <c r="E112" s="20" t="s">
        <v>353</v>
      </c>
      <c r="F112" s="19" t="s">
        <v>941</v>
      </c>
      <c r="G112" s="19" t="s">
        <v>942</v>
      </c>
      <c r="H112" s="31">
        <v>45719</v>
      </c>
      <c r="I112" s="24">
        <v>45762</v>
      </c>
      <c r="J112" s="24">
        <v>45762</v>
      </c>
      <c r="K112" s="25">
        <v>3750000</v>
      </c>
      <c r="L112" s="28"/>
      <c r="M112" s="25">
        <v>3750000</v>
      </c>
      <c r="N112" s="28"/>
      <c r="O112" s="28"/>
      <c r="P112" s="28"/>
    </row>
    <row r="113" spans="1:16" ht="67.5" customHeight="1">
      <c r="A113" s="19" t="s">
        <v>943</v>
      </c>
      <c r="B113" s="20" t="s">
        <v>731</v>
      </c>
      <c r="C113" s="20" t="s">
        <v>944</v>
      </c>
      <c r="D113" s="21">
        <v>1112620571</v>
      </c>
      <c r="E113" s="20" t="s">
        <v>353</v>
      </c>
      <c r="F113" s="19" t="s">
        <v>945</v>
      </c>
      <c r="G113" s="22" t="s">
        <v>946</v>
      </c>
      <c r="H113" s="47">
        <v>45719</v>
      </c>
      <c r="I113" s="32">
        <v>45762</v>
      </c>
      <c r="J113" s="32">
        <v>45762</v>
      </c>
      <c r="K113" s="41">
        <v>3750000</v>
      </c>
      <c r="L113" s="28"/>
      <c r="M113" s="41">
        <v>3750000</v>
      </c>
      <c r="N113" s="28"/>
      <c r="O113" s="28"/>
      <c r="P113" s="28"/>
    </row>
    <row r="114" spans="1:16" ht="67.5" customHeight="1">
      <c r="A114" s="19" t="s">
        <v>947</v>
      </c>
      <c r="B114" s="20" t="s">
        <v>731</v>
      </c>
      <c r="C114" s="27" t="s">
        <v>948</v>
      </c>
      <c r="D114" s="27">
        <v>1113779575</v>
      </c>
      <c r="E114" s="20" t="s">
        <v>353</v>
      </c>
      <c r="F114" s="19" t="s">
        <v>949</v>
      </c>
      <c r="G114" s="22" t="s">
        <v>950</v>
      </c>
      <c r="H114" s="47">
        <v>45719</v>
      </c>
      <c r="I114" s="32">
        <v>45762</v>
      </c>
      <c r="J114" s="32">
        <v>45762</v>
      </c>
      <c r="K114" s="41">
        <v>3750000</v>
      </c>
      <c r="L114" s="28"/>
      <c r="M114" s="41">
        <v>3750000</v>
      </c>
      <c r="N114" s="28"/>
      <c r="O114" s="28"/>
      <c r="P114" s="28"/>
    </row>
    <row r="115" spans="1:16" ht="67.5" customHeight="1">
      <c r="A115" s="19" t="s">
        <v>951</v>
      </c>
      <c r="B115" s="20" t="s">
        <v>731</v>
      </c>
      <c r="C115" s="27" t="s">
        <v>952</v>
      </c>
      <c r="D115" s="27">
        <v>1007502398</v>
      </c>
      <c r="E115" s="20" t="s">
        <v>353</v>
      </c>
      <c r="F115" s="19" t="s">
        <v>953</v>
      </c>
      <c r="G115" s="22" t="s">
        <v>954</v>
      </c>
      <c r="H115" s="24">
        <v>45726</v>
      </c>
      <c r="I115" s="24">
        <v>45762</v>
      </c>
      <c r="J115" s="24">
        <v>45762</v>
      </c>
      <c r="K115" s="41">
        <v>3750000</v>
      </c>
      <c r="L115" s="28"/>
      <c r="M115" s="41">
        <v>3750000</v>
      </c>
      <c r="N115" s="28"/>
      <c r="O115" s="28"/>
      <c r="P115" s="28"/>
    </row>
    <row r="116" spans="1:16" ht="67.5" customHeight="1">
      <c r="A116" s="19" t="s">
        <v>955</v>
      </c>
      <c r="B116" s="20" t="s">
        <v>956</v>
      </c>
      <c r="C116" s="20" t="s">
        <v>415</v>
      </c>
      <c r="D116" s="20" t="s">
        <v>416</v>
      </c>
      <c r="E116" s="20" t="s">
        <v>361</v>
      </c>
      <c r="F116" s="19" t="s">
        <v>957</v>
      </c>
      <c r="G116" s="22" t="s">
        <v>958</v>
      </c>
      <c r="H116" s="32">
        <v>45734</v>
      </c>
      <c r="I116" s="24">
        <v>46021</v>
      </c>
      <c r="J116" s="24">
        <v>46021</v>
      </c>
      <c r="K116" s="41">
        <v>4749230605</v>
      </c>
      <c r="L116" s="25">
        <f>36609530-231136203+505668665</f>
        <v>311141992</v>
      </c>
      <c r="M116" s="41">
        <v>5449425943</v>
      </c>
      <c r="N116" s="26" t="s">
        <v>959</v>
      </c>
      <c r="O116" s="19" t="s">
        <v>960</v>
      </c>
      <c r="P116" s="26" t="s">
        <v>961</v>
      </c>
    </row>
    <row r="117" spans="1:16" ht="67.5" customHeight="1">
      <c r="A117" s="19" t="s">
        <v>962</v>
      </c>
      <c r="B117" s="20" t="s">
        <v>963</v>
      </c>
      <c r="C117" s="20" t="s">
        <v>964</v>
      </c>
      <c r="D117" s="20" t="s">
        <v>965</v>
      </c>
      <c r="E117" s="20" t="s">
        <v>361</v>
      </c>
      <c r="F117" s="19" t="s">
        <v>966</v>
      </c>
      <c r="G117" s="22" t="s">
        <v>967</v>
      </c>
      <c r="H117" s="24">
        <v>45743</v>
      </c>
      <c r="I117" s="24">
        <v>46022</v>
      </c>
      <c r="J117" s="24">
        <v>46022</v>
      </c>
      <c r="K117" s="41">
        <v>40000000</v>
      </c>
      <c r="L117" s="28"/>
      <c r="M117" s="41">
        <v>40000000</v>
      </c>
      <c r="N117" s="28"/>
      <c r="O117" s="28"/>
      <c r="P117" s="28"/>
    </row>
    <row r="118" spans="1:16" ht="67.5" customHeight="1">
      <c r="A118" s="19" t="s">
        <v>968</v>
      </c>
      <c r="B118" s="20" t="s">
        <v>969</v>
      </c>
      <c r="C118" s="20" t="s">
        <v>415</v>
      </c>
      <c r="D118" s="20" t="s">
        <v>416</v>
      </c>
      <c r="E118" s="20" t="s">
        <v>353</v>
      </c>
      <c r="F118" s="19" t="s">
        <v>970</v>
      </c>
      <c r="G118" s="22" t="s">
        <v>971</v>
      </c>
      <c r="H118" s="24">
        <v>45761</v>
      </c>
      <c r="I118" s="24">
        <v>46021</v>
      </c>
      <c r="J118" s="24">
        <v>46021</v>
      </c>
      <c r="K118" s="41">
        <v>387600000</v>
      </c>
      <c r="L118" s="28"/>
      <c r="M118" s="41">
        <v>387600000</v>
      </c>
      <c r="N118" s="28"/>
      <c r="O118" s="28"/>
      <c r="P118" s="28"/>
    </row>
    <row r="119" spans="1:16" ht="67.5" customHeight="1">
      <c r="A119" s="19" t="s">
        <v>972</v>
      </c>
      <c r="B119" s="20" t="s">
        <v>779</v>
      </c>
      <c r="C119" s="19" t="s">
        <v>378</v>
      </c>
      <c r="D119" s="27">
        <v>1116434379</v>
      </c>
      <c r="E119" s="20" t="s">
        <v>353</v>
      </c>
      <c r="F119" s="19" t="s">
        <v>973</v>
      </c>
      <c r="G119" s="22" t="s">
        <v>974</v>
      </c>
      <c r="H119" s="24">
        <v>45792</v>
      </c>
      <c r="I119" s="24">
        <v>45899</v>
      </c>
      <c r="J119" s="24">
        <v>45899</v>
      </c>
      <c r="K119" s="41">
        <v>26250000</v>
      </c>
      <c r="L119" s="28"/>
      <c r="M119" s="41">
        <v>26250000</v>
      </c>
      <c r="N119" s="28"/>
      <c r="O119" s="28"/>
      <c r="P119" s="28"/>
    </row>
    <row r="120" spans="1:16" ht="67.5" customHeight="1">
      <c r="A120" s="19" t="s">
        <v>975</v>
      </c>
      <c r="B120" s="20" t="s">
        <v>765</v>
      </c>
      <c r="C120" s="27" t="s">
        <v>438</v>
      </c>
      <c r="D120" s="27" t="s">
        <v>439</v>
      </c>
      <c r="E120" s="20" t="s">
        <v>353</v>
      </c>
      <c r="F120" s="19" t="s">
        <v>976</v>
      </c>
      <c r="G120" s="22" t="s">
        <v>977</v>
      </c>
      <c r="H120" s="24">
        <v>45792</v>
      </c>
      <c r="I120" s="24">
        <v>45899</v>
      </c>
      <c r="J120" s="24">
        <v>45899</v>
      </c>
      <c r="K120" s="41">
        <v>16625000</v>
      </c>
      <c r="L120" s="28"/>
      <c r="M120" s="41">
        <v>16625000</v>
      </c>
      <c r="N120" s="28"/>
      <c r="O120" s="28"/>
      <c r="P120" s="28"/>
    </row>
    <row r="121" spans="1:16" ht="67.5" customHeight="1">
      <c r="A121" s="19" t="s">
        <v>978</v>
      </c>
      <c r="B121" s="20" t="s">
        <v>765</v>
      </c>
      <c r="C121" s="19" t="s">
        <v>453</v>
      </c>
      <c r="D121" s="27">
        <v>1116448482</v>
      </c>
      <c r="E121" s="20" t="s">
        <v>353</v>
      </c>
      <c r="F121" s="19" t="s">
        <v>979</v>
      </c>
      <c r="G121" s="22" t="s">
        <v>980</v>
      </c>
      <c r="H121" s="24">
        <v>45792</v>
      </c>
      <c r="I121" s="24">
        <v>45899</v>
      </c>
      <c r="J121" s="24">
        <v>45899</v>
      </c>
      <c r="K121" s="41">
        <v>16625000</v>
      </c>
      <c r="L121" s="28"/>
      <c r="M121" s="41">
        <v>16625000</v>
      </c>
      <c r="N121" s="28"/>
      <c r="O121" s="28"/>
      <c r="P121" s="28"/>
    </row>
    <row r="122" spans="1:16" ht="67.5" customHeight="1">
      <c r="A122" s="19" t="s">
        <v>981</v>
      </c>
      <c r="B122" s="20" t="s">
        <v>982</v>
      </c>
      <c r="C122" s="19" t="s">
        <v>430</v>
      </c>
      <c r="D122" s="27">
        <v>1006592827</v>
      </c>
      <c r="E122" s="20" t="s">
        <v>353</v>
      </c>
      <c r="F122" s="19" t="s">
        <v>983</v>
      </c>
      <c r="G122" s="22" t="s">
        <v>984</v>
      </c>
      <c r="H122" s="24">
        <v>45792</v>
      </c>
      <c r="I122" s="24">
        <v>45899</v>
      </c>
      <c r="J122" s="24">
        <v>45899</v>
      </c>
      <c r="K122" s="41">
        <v>8750000</v>
      </c>
      <c r="L122" s="28"/>
      <c r="M122" s="41">
        <v>8750000</v>
      </c>
      <c r="N122" s="28"/>
      <c r="O122" s="28"/>
      <c r="P122" s="28"/>
    </row>
    <row r="123" spans="1:16" ht="67.5" customHeight="1">
      <c r="A123" s="19" t="s">
        <v>985</v>
      </c>
      <c r="B123" s="20" t="s">
        <v>765</v>
      </c>
      <c r="C123" s="19" t="s">
        <v>393</v>
      </c>
      <c r="D123" s="27">
        <v>1113790651</v>
      </c>
      <c r="E123" s="20" t="s">
        <v>353</v>
      </c>
      <c r="F123" s="19" t="s">
        <v>986</v>
      </c>
      <c r="G123" s="22" t="s">
        <v>987</v>
      </c>
      <c r="H123" s="24">
        <v>45792</v>
      </c>
      <c r="I123" s="24">
        <v>45899</v>
      </c>
      <c r="J123" s="24">
        <v>45899</v>
      </c>
      <c r="K123" s="41">
        <v>16625000</v>
      </c>
      <c r="L123" s="28"/>
      <c r="M123" s="41">
        <v>16625000</v>
      </c>
      <c r="N123" s="28"/>
      <c r="O123" s="28"/>
      <c r="P123" s="28"/>
    </row>
    <row r="124" spans="1:16" ht="67.5" customHeight="1">
      <c r="A124" s="19" t="s">
        <v>988</v>
      </c>
      <c r="B124" s="20" t="s">
        <v>989</v>
      </c>
      <c r="C124" s="19" t="s">
        <v>458</v>
      </c>
      <c r="D124" s="27">
        <v>1130622140</v>
      </c>
      <c r="E124" s="20" t="s">
        <v>353</v>
      </c>
      <c r="F124" s="19" t="s">
        <v>990</v>
      </c>
      <c r="G124" s="22" t="s">
        <v>991</v>
      </c>
      <c r="H124" s="24">
        <v>45792</v>
      </c>
      <c r="I124" s="24">
        <v>45899</v>
      </c>
      <c r="J124" s="24">
        <v>45899</v>
      </c>
      <c r="K124" s="41">
        <v>16625000</v>
      </c>
      <c r="L124" s="28"/>
      <c r="M124" s="41">
        <v>16625000</v>
      </c>
      <c r="N124" s="28"/>
      <c r="O124" s="28"/>
      <c r="P124" s="28"/>
    </row>
    <row r="125" spans="1:16" ht="67.5" customHeight="1">
      <c r="A125" s="19" t="s">
        <v>992</v>
      </c>
      <c r="B125" s="20" t="s">
        <v>993</v>
      </c>
      <c r="C125" s="27" t="s">
        <v>417</v>
      </c>
      <c r="D125" s="27">
        <v>1113787109</v>
      </c>
      <c r="E125" s="20" t="s">
        <v>353</v>
      </c>
      <c r="F125" s="19" t="s">
        <v>994</v>
      </c>
      <c r="G125" s="22" t="s">
        <v>995</v>
      </c>
      <c r="H125" s="24">
        <v>45792</v>
      </c>
      <c r="I125" s="24">
        <v>45899</v>
      </c>
      <c r="J125" s="24">
        <v>45899</v>
      </c>
      <c r="K125" s="41">
        <v>21000000</v>
      </c>
      <c r="L125" s="28"/>
      <c r="M125" s="41">
        <v>21000000</v>
      </c>
      <c r="N125" s="28"/>
      <c r="O125" s="28"/>
      <c r="P125" s="28"/>
    </row>
    <row r="126" spans="1:16" ht="67.5" customHeight="1">
      <c r="A126" s="19" t="s">
        <v>996</v>
      </c>
      <c r="B126" s="20" t="s">
        <v>997</v>
      </c>
      <c r="C126" s="19" t="s">
        <v>432</v>
      </c>
      <c r="D126" s="27">
        <v>1007820821</v>
      </c>
      <c r="E126" s="20" t="s">
        <v>353</v>
      </c>
      <c r="F126" s="19" t="s">
        <v>998</v>
      </c>
      <c r="G126" s="22" t="s">
        <v>999</v>
      </c>
      <c r="H126" s="24">
        <v>45792</v>
      </c>
      <c r="I126" s="24">
        <v>45899</v>
      </c>
      <c r="J126" s="24">
        <v>45899</v>
      </c>
      <c r="K126" s="41">
        <v>26250000</v>
      </c>
      <c r="L126" s="28"/>
      <c r="M126" s="41">
        <v>26250000</v>
      </c>
      <c r="N126" s="28"/>
      <c r="O126" s="28"/>
      <c r="P126" s="28"/>
    </row>
    <row r="127" spans="1:16" ht="67.5" customHeight="1">
      <c r="A127" s="19" t="s">
        <v>1000</v>
      </c>
      <c r="B127" s="20" t="s">
        <v>982</v>
      </c>
      <c r="C127" s="27" t="s">
        <v>451</v>
      </c>
      <c r="D127" s="27">
        <v>1113778353</v>
      </c>
      <c r="E127" s="20" t="s">
        <v>353</v>
      </c>
      <c r="F127" s="19" t="s">
        <v>1001</v>
      </c>
      <c r="G127" s="22" t="s">
        <v>1002</v>
      </c>
      <c r="H127" s="24">
        <v>45792</v>
      </c>
      <c r="I127" s="24">
        <v>45899</v>
      </c>
      <c r="J127" s="24">
        <v>45899</v>
      </c>
      <c r="K127" s="41">
        <v>8750000</v>
      </c>
      <c r="L127" s="28"/>
      <c r="M127" s="41">
        <v>8750000</v>
      </c>
      <c r="N127" s="28"/>
      <c r="O127" s="28"/>
      <c r="P127" s="28"/>
    </row>
    <row r="128" spans="1:16" ht="67.5" customHeight="1">
      <c r="A128" s="19" t="s">
        <v>1003</v>
      </c>
      <c r="B128" s="20" t="s">
        <v>993</v>
      </c>
      <c r="C128" s="19" t="s">
        <v>385</v>
      </c>
      <c r="D128" s="27">
        <v>1116447295</v>
      </c>
      <c r="E128" s="20" t="s">
        <v>353</v>
      </c>
      <c r="F128" s="19" t="s">
        <v>1004</v>
      </c>
      <c r="G128" s="22" t="s">
        <v>1005</v>
      </c>
      <c r="H128" s="24">
        <v>45792</v>
      </c>
      <c r="I128" s="24">
        <v>45899</v>
      </c>
      <c r="J128" s="24">
        <v>45899</v>
      </c>
      <c r="K128" s="41">
        <v>21000000</v>
      </c>
      <c r="L128" s="28"/>
      <c r="M128" s="41">
        <v>21000000</v>
      </c>
      <c r="N128" s="28"/>
      <c r="O128" s="28"/>
      <c r="P128" s="28"/>
    </row>
    <row r="129" spans="1:16" ht="67.5" customHeight="1">
      <c r="A129" s="19" t="s">
        <v>1006</v>
      </c>
      <c r="B129" s="20" t="s">
        <v>993</v>
      </c>
      <c r="C129" s="19" t="s">
        <v>368</v>
      </c>
      <c r="D129" s="27">
        <v>1115422544</v>
      </c>
      <c r="E129" s="20" t="s">
        <v>353</v>
      </c>
      <c r="F129" s="19" t="s">
        <v>1007</v>
      </c>
      <c r="G129" s="22" t="s">
        <v>1008</v>
      </c>
      <c r="H129" s="24">
        <v>45792</v>
      </c>
      <c r="I129" s="24">
        <v>45899</v>
      </c>
      <c r="J129" s="24">
        <v>45899</v>
      </c>
      <c r="K129" s="41">
        <v>21000000</v>
      </c>
      <c r="L129" s="28"/>
      <c r="M129" s="41">
        <v>21000000</v>
      </c>
      <c r="N129" s="28"/>
      <c r="O129" s="28"/>
      <c r="P129" s="28"/>
    </row>
    <row r="130" spans="1:16" ht="67.5" customHeight="1">
      <c r="A130" s="19" t="s">
        <v>1009</v>
      </c>
      <c r="B130" s="20" t="s">
        <v>993</v>
      </c>
      <c r="C130" s="35" t="s">
        <v>892</v>
      </c>
      <c r="D130" s="36">
        <v>1006238956</v>
      </c>
      <c r="E130" s="20" t="s">
        <v>353</v>
      </c>
      <c r="F130" s="19" t="s">
        <v>1010</v>
      </c>
      <c r="G130" s="22" t="s">
        <v>1011</v>
      </c>
      <c r="H130" s="24">
        <v>45792</v>
      </c>
      <c r="I130" s="24">
        <v>45899</v>
      </c>
      <c r="J130" s="24">
        <v>45899</v>
      </c>
      <c r="K130" s="41">
        <v>21000000</v>
      </c>
      <c r="L130" s="28"/>
      <c r="M130" s="41">
        <v>21000000</v>
      </c>
      <c r="N130" s="28"/>
      <c r="O130" s="28"/>
      <c r="P130" s="28"/>
    </row>
    <row r="131" spans="1:16" ht="67.5" customHeight="1">
      <c r="A131" s="19" t="s">
        <v>1012</v>
      </c>
      <c r="B131" s="20" t="s">
        <v>765</v>
      </c>
      <c r="C131" s="19" t="s">
        <v>480</v>
      </c>
      <c r="D131" s="27">
        <v>1006289951</v>
      </c>
      <c r="E131" s="20" t="s">
        <v>353</v>
      </c>
      <c r="F131" s="19" t="s">
        <v>1013</v>
      </c>
      <c r="G131" s="22" t="s">
        <v>1014</v>
      </c>
      <c r="H131" s="24">
        <v>45792</v>
      </c>
      <c r="I131" s="24">
        <v>45899</v>
      </c>
      <c r="J131" s="24">
        <v>45899</v>
      </c>
      <c r="K131" s="41">
        <v>16625000</v>
      </c>
      <c r="L131" s="28"/>
      <c r="M131" s="41">
        <v>16625000</v>
      </c>
      <c r="N131" s="28"/>
      <c r="O131" s="28"/>
      <c r="P131" s="28"/>
    </row>
    <row r="132" spans="1:16" ht="67.5" customHeight="1">
      <c r="A132" s="19" t="s">
        <v>1015</v>
      </c>
      <c r="B132" s="20" t="s">
        <v>1016</v>
      </c>
      <c r="C132" s="20" t="s">
        <v>369</v>
      </c>
      <c r="D132" s="20">
        <v>1006290391</v>
      </c>
      <c r="E132" s="20" t="s">
        <v>353</v>
      </c>
      <c r="F132" s="19" t="s">
        <v>1017</v>
      </c>
      <c r="G132" s="22" t="s">
        <v>1018</v>
      </c>
      <c r="H132" s="24">
        <v>45792</v>
      </c>
      <c r="I132" s="24">
        <v>45899</v>
      </c>
      <c r="J132" s="24">
        <v>45899</v>
      </c>
      <c r="K132" s="41">
        <v>16625000</v>
      </c>
      <c r="L132" s="28"/>
      <c r="M132" s="41">
        <v>16625000</v>
      </c>
      <c r="N132" s="28"/>
      <c r="O132" s="28"/>
      <c r="P132" s="28"/>
    </row>
    <row r="133" spans="1:16" ht="67.5" customHeight="1">
      <c r="A133" s="19" t="s">
        <v>1019</v>
      </c>
      <c r="B133" s="20" t="s">
        <v>982</v>
      </c>
      <c r="C133" s="19" t="s">
        <v>448</v>
      </c>
      <c r="D133" s="27">
        <v>1112920109</v>
      </c>
      <c r="E133" s="20" t="s">
        <v>353</v>
      </c>
      <c r="F133" s="19" t="s">
        <v>1020</v>
      </c>
      <c r="G133" s="22" t="s">
        <v>1021</v>
      </c>
      <c r="H133" s="24">
        <v>45792</v>
      </c>
      <c r="I133" s="24">
        <v>45899</v>
      </c>
      <c r="J133" s="24">
        <v>45899</v>
      </c>
      <c r="K133" s="41">
        <v>8750000</v>
      </c>
      <c r="L133" s="28"/>
      <c r="M133" s="41">
        <v>8750000</v>
      </c>
      <c r="N133" s="28"/>
      <c r="O133" s="28"/>
      <c r="P133" s="28"/>
    </row>
    <row r="134" spans="1:16" ht="67.5" customHeight="1">
      <c r="A134" s="19" t="s">
        <v>1022</v>
      </c>
      <c r="B134" s="20" t="s">
        <v>765</v>
      </c>
      <c r="C134" s="27" t="s">
        <v>426</v>
      </c>
      <c r="D134" s="27" t="s">
        <v>427</v>
      </c>
      <c r="E134" s="20" t="s">
        <v>353</v>
      </c>
      <c r="F134" s="19" t="s">
        <v>1023</v>
      </c>
      <c r="G134" s="22" t="s">
        <v>1024</v>
      </c>
      <c r="H134" s="24">
        <v>45792</v>
      </c>
      <c r="I134" s="24">
        <v>45899</v>
      </c>
      <c r="J134" s="24">
        <v>45899</v>
      </c>
      <c r="K134" s="41">
        <v>16625000</v>
      </c>
      <c r="L134" s="28"/>
      <c r="M134" s="41">
        <v>16625000</v>
      </c>
      <c r="N134" s="28"/>
      <c r="O134" s="28"/>
      <c r="P134" s="28"/>
    </row>
    <row r="135" spans="1:16" ht="67.5" customHeight="1">
      <c r="A135" s="19" t="s">
        <v>1025</v>
      </c>
      <c r="B135" s="20" t="s">
        <v>731</v>
      </c>
      <c r="C135" s="19" t="s">
        <v>452</v>
      </c>
      <c r="D135" s="27">
        <v>1113758623</v>
      </c>
      <c r="E135" s="20" t="s">
        <v>353</v>
      </c>
      <c r="F135" s="19" t="s">
        <v>1026</v>
      </c>
      <c r="G135" s="22" t="s">
        <v>1027</v>
      </c>
      <c r="H135" s="24">
        <v>45792</v>
      </c>
      <c r="I135" s="24">
        <v>45899</v>
      </c>
      <c r="J135" s="24">
        <v>45899</v>
      </c>
      <c r="K135" s="41">
        <v>8750000</v>
      </c>
      <c r="L135" s="28"/>
      <c r="M135" s="41">
        <v>8750000</v>
      </c>
      <c r="N135" s="28"/>
      <c r="O135" s="28"/>
      <c r="P135" s="28"/>
    </row>
    <row r="136" spans="1:16" ht="67.5" customHeight="1">
      <c r="A136" s="19" t="s">
        <v>1028</v>
      </c>
      <c r="B136" s="20" t="s">
        <v>731</v>
      </c>
      <c r="C136" s="20" t="s">
        <v>944</v>
      </c>
      <c r="D136" s="21">
        <v>1112620571</v>
      </c>
      <c r="E136" s="20" t="s">
        <v>353</v>
      </c>
      <c r="F136" s="19" t="s">
        <v>1029</v>
      </c>
      <c r="G136" s="22" t="s">
        <v>1030</v>
      </c>
      <c r="H136" s="24">
        <v>45792</v>
      </c>
      <c r="I136" s="24">
        <v>45899</v>
      </c>
      <c r="J136" s="24">
        <v>45899</v>
      </c>
      <c r="K136" s="41">
        <v>8750000</v>
      </c>
      <c r="L136" s="28"/>
      <c r="M136" s="41">
        <v>8750000</v>
      </c>
      <c r="N136" s="28"/>
      <c r="O136" s="28"/>
      <c r="P136" s="28"/>
    </row>
    <row r="137" spans="1:16" ht="67.5" customHeight="1">
      <c r="A137" s="19" t="s">
        <v>1031</v>
      </c>
      <c r="B137" s="20" t="s">
        <v>1032</v>
      </c>
      <c r="C137" s="19" t="s">
        <v>492</v>
      </c>
      <c r="D137" s="27">
        <v>1007581090</v>
      </c>
      <c r="E137" s="20" t="s">
        <v>353</v>
      </c>
      <c r="F137" s="19" t="s">
        <v>1033</v>
      </c>
      <c r="G137" s="22" t="s">
        <v>1034</v>
      </c>
      <c r="H137" s="24">
        <v>45792</v>
      </c>
      <c r="I137" s="24">
        <v>45899</v>
      </c>
      <c r="J137" s="24">
        <v>45899</v>
      </c>
      <c r="K137" s="41">
        <v>16625000</v>
      </c>
      <c r="L137" s="28"/>
      <c r="M137" s="41">
        <v>16625000</v>
      </c>
      <c r="N137" s="28"/>
      <c r="O137" s="28"/>
      <c r="P137" s="28"/>
    </row>
    <row r="138" spans="1:16" ht="67.5" customHeight="1">
      <c r="A138" s="19" t="s">
        <v>1035</v>
      </c>
      <c r="B138" s="20" t="s">
        <v>982</v>
      </c>
      <c r="C138" s="27" t="s">
        <v>352</v>
      </c>
      <c r="D138" s="27">
        <v>1088734527</v>
      </c>
      <c r="E138" s="20" t="s">
        <v>353</v>
      </c>
      <c r="F138" s="19" t="s">
        <v>1036</v>
      </c>
      <c r="G138" s="22" t="s">
        <v>1037</v>
      </c>
      <c r="H138" s="24">
        <v>45792</v>
      </c>
      <c r="I138" s="24">
        <v>45899</v>
      </c>
      <c r="J138" s="24">
        <v>45899</v>
      </c>
      <c r="K138" s="41">
        <v>8750000</v>
      </c>
      <c r="L138" s="28"/>
      <c r="M138" s="41">
        <v>8750000</v>
      </c>
      <c r="N138" s="28"/>
      <c r="O138" s="28"/>
      <c r="P138" s="28"/>
    </row>
    <row r="139" spans="1:16" ht="67.5" customHeight="1">
      <c r="A139" s="19" t="s">
        <v>1038</v>
      </c>
      <c r="B139" s="20" t="s">
        <v>765</v>
      </c>
      <c r="C139" s="27" t="s">
        <v>391</v>
      </c>
      <c r="D139" s="27" t="s">
        <v>392</v>
      </c>
      <c r="E139" s="20" t="s">
        <v>353</v>
      </c>
      <c r="F139" s="19" t="s">
        <v>1039</v>
      </c>
      <c r="G139" s="22" t="s">
        <v>1040</v>
      </c>
      <c r="H139" s="24">
        <v>45792</v>
      </c>
      <c r="I139" s="24">
        <v>45899</v>
      </c>
      <c r="J139" s="24">
        <v>45899</v>
      </c>
      <c r="K139" s="41">
        <v>16625000</v>
      </c>
      <c r="L139" s="28"/>
      <c r="M139" s="41">
        <v>16625000</v>
      </c>
      <c r="N139" s="28"/>
      <c r="O139" s="28"/>
      <c r="P139" s="28"/>
    </row>
    <row r="140" spans="1:16" ht="67.5" customHeight="1">
      <c r="A140" s="19" t="s">
        <v>1041</v>
      </c>
      <c r="B140" s="20" t="s">
        <v>982</v>
      </c>
      <c r="C140" s="27" t="s">
        <v>456</v>
      </c>
      <c r="D140" s="27">
        <v>1113779029</v>
      </c>
      <c r="E140" s="20" t="s">
        <v>353</v>
      </c>
      <c r="F140" s="19" t="s">
        <v>1042</v>
      </c>
      <c r="G140" s="22" t="s">
        <v>1043</v>
      </c>
      <c r="H140" s="24">
        <v>45792</v>
      </c>
      <c r="I140" s="24">
        <v>45899</v>
      </c>
      <c r="J140" s="24">
        <v>45899</v>
      </c>
      <c r="K140" s="41">
        <v>8750000</v>
      </c>
      <c r="L140" s="28"/>
      <c r="M140" s="41">
        <v>8750000</v>
      </c>
      <c r="N140" s="28"/>
      <c r="O140" s="28"/>
      <c r="P140" s="28"/>
    </row>
    <row r="141" spans="1:16" ht="67.5" customHeight="1">
      <c r="A141" s="19" t="s">
        <v>1044</v>
      </c>
      <c r="B141" s="20" t="s">
        <v>993</v>
      </c>
      <c r="C141" s="19" t="s">
        <v>461</v>
      </c>
      <c r="D141" s="27">
        <v>1006289472</v>
      </c>
      <c r="E141" s="20" t="s">
        <v>353</v>
      </c>
      <c r="F141" s="19" t="s">
        <v>1045</v>
      </c>
      <c r="G141" s="22" t="s">
        <v>1046</v>
      </c>
      <c r="H141" s="24">
        <v>45792</v>
      </c>
      <c r="I141" s="24">
        <v>45899</v>
      </c>
      <c r="J141" s="24">
        <v>45899</v>
      </c>
      <c r="K141" s="41">
        <v>21000000</v>
      </c>
      <c r="L141" s="28"/>
      <c r="M141" s="41">
        <v>21000000</v>
      </c>
      <c r="N141" s="28"/>
      <c r="O141" s="28"/>
      <c r="P141" s="28"/>
    </row>
    <row r="142" spans="1:16" ht="67.5" customHeight="1">
      <c r="A142" s="19" t="s">
        <v>1047</v>
      </c>
      <c r="B142" s="20" t="s">
        <v>982</v>
      </c>
      <c r="C142" s="19" t="s">
        <v>418</v>
      </c>
      <c r="D142" s="27">
        <v>1116445023</v>
      </c>
      <c r="E142" s="20" t="s">
        <v>353</v>
      </c>
      <c r="F142" s="19" t="s">
        <v>1048</v>
      </c>
      <c r="G142" s="22" t="s">
        <v>1049</v>
      </c>
      <c r="H142" s="24">
        <v>45792</v>
      </c>
      <c r="I142" s="24">
        <v>45899</v>
      </c>
      <c r="J142" s="24">
        <v>45899</v>
      </c>
      <c r="K142" s="41">
        <v>8750000</v>
      </c>
      <c r="L142" s="28"/>
      <c r="M142" s="41">
        <v>8750000</v>
      </c>
      <c r="N142" s="28"/>
      <c r="O142" s="28"/>
      <c r="P142" s="28"/>
    </row>
    <row r="143" spans="1:16" ht="67.5" customHeight="1">
      <c r="A143" s="19" t="s">
        <v>1050</v>
      </c>
      <c r="B143" s="20" t="s">
        <v>731</v>
      </c>
      <c r="C143" s="27" t="s">
        <v>462</v>
      </c>
      <c r="D143" s="27" t="s">
        <v>463</v>
      </c>
      <c r="E143" s="20" t="s">
        <v>353</v>
      </c>
      <c r="F143" s="19" t="s">
        <v>1051</v>
      </c>
      <c r="G143" s="22" t="s">
        <v>1052</v>
      </c>
      <c r="H143" s="24">
        <v>45792</v>
      </c>
      <c r="I143" s="24">
        <v>45899</v>
      </c>
      <c r="J143" s="24">
        <v>45899</v>
      </c>
      <c r="K143" s="41">
        <v>8750000</v>
      </c>
      <c r="L143" s="28"/>
      <c r="M143" s="41">
        <v>8750000</v>
      </c>
      <c r="N143" s="28"/>
      <c r="O143" s="28"/>
      <c r="P143" s="28"/>
    </row>
    <row r="144" spans="1:16" ht="67.5" customHeight="1">
      <c r="A144" s="19" t="s">
        <v>1053</v>
      </c>
      <c r="B144" s="20" t="s">
        <v>731</v>
      </c>
      <c r="C144" s="35" t="s">
        <v>844</v>
      </c>
      <c r="D144" s="36">
        <v>1113792252</v>
      </c>
      <c r="E144" s="20" t="s">
        <v>353</v>
      </c>
      <c r="F144" s="19" t="s">
        <v>1054</v>
      </c>
      <c r="G144" s="22" t="s">
        <v>1055</v>
      </c>
      <c r="H144" s="24">
        <v>45792</v>
      </c>
      <c r="I144" s="24">
        <v>45899</v>
      </c>
      <c r="J144" s="24">
        <v>45899</v>
      </c>
      <c r="K144" s="41">
        <v>8750000</v>
      </c>
      <c r="L144" s="28"/>
      <c r="M144" s="41">
        <v>8750000</v>
      </c>
      <c r="N144" s="28"/>
      <c r="O144" s="28"/>
      <c r="P144" s="28"/>
    </row>
    <row r="145" spans="1:16" ht="67.5" customHeight="1">
      <c r="A145" s="19" t="s">
        <v>1056</v>
      </c>
      <c r="B145" s="20" t="s">
        <v>989</v>
      </c>
      <c r="C145" s="20" t="s">
        <v>464</v>
      </c>
      <c r="D145" s="20">
        <v>1144063692</v>
      </c>
      <c r="E145" s="20" t="s">
        <v>353</v>
      </c>
      <c r="F145" s="19" t="s">
        <v>1057</v>
      </c>
      <c r="G145" s="22" t="s">
        <v>1058</v>
      </c>
      <c r="H145" s="24">
        <v>45792</v>
      </c>
      <c r="I145" s="24">
        <v>45899</v>
      </c>
      <c r="J145" s="24">
        <v>45899</v>
      </c>
      <c r="K145" s="41">
        <v>16625000</v>
      </c>
      <c r="L145" s="28"/>
      <c r="M145" s="41">
        <v>16625000</v>
      </c>
      <c r="N145" s="28"/>
      <c r="O145" s="28"/>
      <c r="P145" s="28"/>
    </row>
    <row r="146" spans="1:16" ht="67.5" customHeight="1">
      <c r="A146" s="19" t="s">
        <v>1059</v>
      </c>
      <c r="B146" s="20" t="s">
        <v>765</v>
      </c>
      <c r="C146" s="27" t="s">
        <v>405</v>
      </c>
      <c r="D146" s="27">
        <v>66873235</v>
      </c>
      <c r="E146" s="20" t="s">
        <v>353</v>
      </c>
      <c r="F146" s="19" t="s">
        <v>1060</v>
      </c>
      <c r="G146" s="22" t="s">
        <v>1061</v>
      </c>
      <c r="H146" s="24">
        <v>45792</v>
      </c>
      <c r="I146" s="24">
        <v>45899</v>
      </c>
      <c r="J146" s="24">
        <v>45899</v>
      </c>
      <c r="K146" s="41">
        <v>16625000</v>
      </c>
      <c r="L146" s="28"/>
      <c r="M146" s="41">
        <v>16625000</v>
      </c>
      <c r="N146" s="28"/>
      <c r="O146" s="28"/>
      <c r="P146" s="28"/>
    </row>
    <row r="147" spans="1:16" ht="67.5" customHeight="1">
      <c r="A147" s="19" t="s">
        <v>1062</v>
      </c>
      <c r="B147" s="20" t="s">
        <v>731</v>
      </c>
      <c r="C147" s="35" t="s">
        <v>885</v>
      </c>
      <c r="D147" s="36">
        <v>1119150317</v>
      </c>
      <c r="E147" s="20" t="s">
        <v>353</v>
      </c>
      <c r="F147" s="19" t="s">
        <v>1063</v>
      </c>
      <c r="G147" s="22" t="s">
        <v>1064</v>
      </c>
      <c r="H147" s="24">
        <v>45792</v>
      </c>
      <c r="I147" s="24">
        <v>45899</v>
      </c>
      <c r="J147" s="24">
        <v>45899</v>
      </c>
      <c r="K147" s="41">
        <v>8750000</v>
      </c>
      <c r="L147" s="28"/>
      <c r="M147" s="41">
        <v>8750000</v>
      </c>
      <c r="N147" s="28"/>
      <c r="O147" s="28"/>
      <c r="P147" s="28"/>
    </row>
    <row r="148" spans="1:16" ht="67.5" customHeight="1">
      <c r="A148" s="19" t="s">
        <v>1065</v>
      </c>
      <c r="B148" s="20" t="s">
        <v>982</v>
      </c>
      <c r="C148" s="27" t="s">
        <v>482</v>
      </c>
      <c r="D148" s="27">
        <v>1113788385</v>
      </c>
      <c r="E148" s="20" t="s">
        <v>353</v>
      </c>
      <c r="F148" s="19" t="s">
        <v>1066</v>
      </c>
      <c r="G148" s="22" t="s">
        <v>1067</v>
      </c>
      <c r="H148" s="24">
        <v>45792</v>
      </c>
      <c r="I148" s="24">
        <v>45899</v>
      </c>
      <c r="J148" s="24">
        <v>45899</v>
      </c>
      <c r="K148" s="41">
        <v>8750000</v>
      </c>
      <c r="L148" s="28"/>
      <c r="M148" s="41">
        <v>8750000</v>
      </c>
      <c r="N148" s="28"/>
      <c r="O148" s="28"/>
      <c r="P148" s="28"/>
    </row>
    <row r="149" spans="1:16" ht="67.5" customHeight="1">
      <c r="A149" s="19" t="s">
        <v>1068</v>
      </c>
      <c r="B149" s="20" t="s">
        <v>982</v>
      </c>
      <c r="C149" s="19" t="s">
        <v>431</v>
      </c>
      <c r="D149" s="27">
        <v>1113787145</v>
      </c>
      <c r="E149" s="20" t="s">
        <v>353</v>
      </c>
      <c r="F149" s="19" t="s">
        <v>1069</v>
      </c>
      <c r="G149" s="22" t="s">
        <v>1070</v>
      </c>
      <c r="H149" s="24">
        <v>45792</v>
      </c>
      <c r="I149" s="24">
        <v>45899</v>
      </c>
      <c r="J149" s="24">
        <v>45899</v>
      </c>
      <c r="K149" s="41">
        <v>8750000</v>
      </c>
      <c r="L149" s="28"/>
      <c r="M149" s="41">
        <v>8750000</v>
      </c>
      <c r="N149" s="28"/>
      <c r="O149" s="28"/>
      <c r="P149" s="28"/>
    </row>
    <row r="150" spans="1:16" ht="67.5" customHeight="1">
      <c r="A150" s="19" t="s">
        <v>1071</v>
      </c>
      <c r="B150" s="20" t="s">
        <v>993</v>
      </c>
      <c r="C150" s="19" t="s">
        <v>424</v>
      </c>
      <c r="D150" s="27">
        <v>14636116</v>
      </c>
      <c r="E150" s="20" t="s">
        <v>353</v>
      </c>
      <c r="F150" s="19" t="s">
        <v>1072</v>
      </c>
      <c r="G150" s="22" t="s">
        <v>1073</v>
      </c>
      <c r="H150" s="24">
        <v>45792</v>
      </c>
      <c r="I150" s="24">
        <v>45899</v>
      </c>
      <c r="J150" s="24">
        <v>45899</v>
      </c>
      <c r="K150" s="41">
        <v>21000000</v>
      </c>
      <c r="L150" s="48"/>
      <c r="M150" s="41">
        <v>21000000</v>
      </c>
      <c r="N150" s="28"/>
      <c r="O150" s="28"/>
      <c r="P150" s="28"/>
    </row>
    <row r="151" spans="1:16" ht="67.5" customHeight="1">
      <c r="A151" s="19" t="s">
        <v>1074</v>
      </c>
      <c r="B151" s="20" t="s">
        <v>1075</v>
      </c>
      <c r="C151" s="20" t="s">
        <v>457</v>
      </c>
      <c r="D151" s="20">
        <v>29775529</v>
      </c>
      <c r="E151" s="20" t="s">
        <v>353</v>
      </c>
      <c r="F151" s="19" t="s">
        <v>1076</v>
      </c>
      <c r="G151" s="22" t="s">
        <v>1077</v>
      </c>
      <c r="H151" s="32">
        <v>45792</v>
      </c>
      <c r="I151" s="32">
        <v>45899</v>
      </c>
      <c r="J151" s="32">
        <v>45899</v>
      </c>
      <c r="K151" s="41">
        <v>16625000</v>
      </c>
      <c r="L151" s="28"/>
      <c r="M151" s="41">
        <v>16625000</v>
      </c>
      <c r="N151" s="28"/>
      <c r="O151" s="28"/>
      <c r="P151" s="28"/>
    </row>
    <row r="152" spans="1:16" ht="67.5" customHeight="1">
      <c r="A152" s="19" t="s">
        <v>1078</v>
      </c>
      <c r="B152" s="20" t="s">
        <v>731</v>
      </c>
      <c r="C152" s="19" t="s">
        <v>450</v>
      </c>
      <c r="D152" s="27">
        <v>1006289701</v>
      </c>
      <c r="E152" s="20" t="s">
        <v>353</v>
      </c>
      <c r="F152" s="19" t="s">
        <v>1079</v>
      </c>
      <c r="G152" s="22" t="s">
        <v>1080</v>
      </c>
      <c r="H152" s="32">
        <v>45792</v>
      </c>
      <c r="I152" s="32">
        <v>45899</v>
      </c>
      <c r="J152" s="32">
        <v>45899</v>
      </c>
      <c r="K152" s="41">
        <v>8750000</v>
      </c>
      <c r="L152" s="28"/>
      <c r="M152" s="41">
        <v>8750000</v>
      </c>
      <c r="N152" s="28"/>
      <c r="O152" s="28"/>
      <c r="P152" s="28"/>
    </row>
    <row r="153" spans="1:16" ht="67.5" customHeight="1">
      <c r="A153" s="19" t="s">
        <v>1081</v>
      </c>
      <c r="B153" s="20" t="s">
        <v>982</v>
      </c>
      <c r="C153" s="19" t="s">
        <v>389</v>
      </c>
      <c r="D153" s="27">
        <v>29775003</v>
      </c>
      <c r="E153" s="20" t="s">
        <v>353</v>
      </c>
      <c r="F153" s="19" t="s">
        <v>1082</v>
      </c>
      <c r="G153" s="22" t="s">
        <v>1083</v>
      </c>
      <c r="H153" s="32">
        <v>45792</v>
      </c>
      <c r="I153" s="32">
        <v>45899</v>
      </c>
      <c r="J153" s="32">
        <v>45899</v>
      </c>
      <c r="K153" s="41">
        <v>8750000</v>
      </c>
      <c r="L153" s="28"/>
      <c r="M153" s="41">
        <v>8750000</v>
      </c>
      <c r="N153" s="28"/>
      <c r="O153" s="28"/>
      <c r="P153" s="28"/>
    </row>
    <row r="154" spans="1:16" ht="67.5" customHeight="1">
      <c r="A154" s="19" t="s">
        <v>1084</v>
      </c>
      <c r="B154" s="20" t="s">
        <v>982</v>
      </c>
      <c r="C154" s="19" t="s">
        <v>754</v>
      </c>
      <c r="D154" s="27">
        <v>1007502344</v>
      </c>
      <c r="E154" s="20" t="s">
        <v>353</v>
      </c>
      <c r="F154" s="19" t="s">
        <v>1085</v>
      </c>
      <c r="G154" s="22" t="s">
        <v>1086</v>
      </c>
      <c r="H154" s="32">
        <v>45792</v>
      </c>
      <c r="I154" s="32">
        <v>45899</v>
      </c>
      <c r="J154" s="32">
        <v>45899</v>
      </c>
      <c r="K154" s="41">
        <v>8750000</v>
      </c>
      <c r="L154" s="28"/>
      <c r="M154" s="41">
        <v>8750000</v>
      </c>
      <c r="N154" s="28"/>
      <c r="O154" s="28"/>
      <c r="P154" s="28"/>
    </row>
    <row r="155" spans="1:16" ht="67.5" customHeight="1">
      <c r="A155" s="19" t="s">
        <v>1087</v>
      </c>
      <c r="B155" s="20" t="s">
        <v>1088</v>
      </c>
      <c r="C155" s="19" t="s">
        <v>1089</v>
      </c>
      <c r="D155" s="27">
        <v>1112784429</v>
      </c>
      <c r="E155" s="20" t="s">
        <v>353</v>
      </c>
      <c r="F155" s="19" t="s">
        <v>1090</v>
      </c>
      <c r="G155" s="22" t="s">
        <v>1091</v>
      </c>
      <c r="H155" s="32">
        <v>45796</v>
      </c>
      <c r="I155" s="32">
        <v>46022</v>
      </c>
      <c r="J155" s="32">
        <v>46022</v>
      </c>
      <c r="K155" s="41">
        <v>55000000</v>
      </c>
      <c r="L155" s="28"/>
      <c r="M155" s="41">
        <v>55000000</v>
      </c>
      <c r="N155" s="28"/>
      <c r="O155" s="28"/>
      <c r="P155" s="28"/>
    </row>
    <row r="156" spans="1:16" ht="67.5" customHeight="1">
      <c r="A156" s="19" t="s">
        <v>1092</v>
      </c>
      <c r="B156" s="20" t="s">
        <v>989</v>
      </c>
      <c r="C156" s="20" t="s">
        <v>512</v>
      </c>
      <c r="D156" s="20">
        <v>1007452321</v>
      </c>
      <c r="E156" s="20" t="s">
        <v>353</v>
      </c>
      <c r="F156" s="19" t="s">
        <v>1093</v>
      </c>
      <c r="G156" s="22" t="s">
        <v>1094</v>
      </c>
      <c r="H156" s="32">
        <v>45792</v>
      </c>
      <c r="I156" s="32">
        <v>45899</v>
      </c>
      <c r="J156" s="32">
        <v>45899</v>
      </c>
      <c r="K156" s="41">
        <v>16625000</v>
      </c>
      <c r="L156" s="28"/>
      <c r="M156" s="41">
        <v>16625000</v>
      </c>
      <c r="N156" s="28"/>
      <c r="O156" s="28"/>
      <c r="P156" s="28"/>
    </row>
    <row r="157" spans="1:16" ht="67.5" customHeight="1">
      <c r="A157" s="19" t="s">
        <v>1095</v>
      </c>
      <c r="B157" s="20" t="s">
        <v>726</v>
      </c>
      <c r="C157" s="20" t="s">
        <v>727</v>
      </c>
      <c r="D157" s="20">
        <v>1007820945</v>
      </c>
      <c r="E157" s="20" t="s">
        <v>353</v>
      </c>
      <c r="F157" s="19" t="s">
        <v>1096</v>
      </c>
      <c r="G157" s="22" t="s">
        <v>1097</v>
      </c>
      <c r="H157" s="32">
        <v>45792</v>
      </c>
      <c r="I157" s="32">
        <v>45899</v>
      </c>
      <c r="J157" s="32">
        <v>45899</v>
      </c>
      <c r="K157" s="41">
        <v>16625000</v>
      </c>
      <c r="L157" s="28"/>
      <c r="M157" s="41">
        <v>16625000</v>
      </c>
      <c r="N157" s="28"/>
      <c r="O157" s="28"/>
      <c r="P157" s="28"/>
    </row>
    <row r="158" spans="1:16" ht="67.5" customHeight="1">
      <c r="A158" s="19" t="s">
        <v>1098</v>
      </c>
      <c r="B158" s="20" t="s">
        <v>1099</v>
      </c>
      <c r="C158" s="27" t="s">
        <v>454</v>
      </c>
      <c r="D158" s="27" t="s">
        <v>455</v>
      </c>
      <c r="E158" s="20" t="s">
        <v>353</v>
      </c>
      <c r="F158" s="19" t="s">
        <v>1100</v>
      </c>
      <c r="G158" s="22" t="s">
        <v>1101</v>
      </c>
      <c r="H158" s="32">
        <v>45792</v>
      </c>
      <c r="I158" s="32">
        <v>45899</v>
      </c>
      <c r="J158" s="32">
        <v>45899</v>
      </c>
      <c r="K158" s="41">
        <v>21000000</v>
      </c>
      <c r="L158" s="25">
        <v>3500000</v>
      </c>
      <c r="M158" s="41">
        <f>21000000+L158</f>
        <v>24500000</v>
      </c>
      <c r="N158" s="24">
        <v>45821</v>
      </c>
      <c r="O158" s="27" t="s">
        <v>1102</v>
      </c>
      <c r="P158" s="27" t="s">
        <v>1103</v>
      </c>
    </row>
    <row r="159" spans="1:16" ht="67.5" customHeight="1">
      <c r="A159" s="19" t="s">
        <v>1104</v>
      </c>
      <c r="B159" s="20" t="s">
        <v>1105</v>
      </c>
      <c r="C159" s="19" t="s">
        <v>357</v>
      </c>
      <c r="D159" s="27">
        <v>1006238908</v>
      </c>
      <c r="E159" s="20" t="s">
        <v>353</v>
      </c>
      <c r="F159" s="19" t="s">
        <v>1106</v>
      </c>
      <c r="G159" s="22" t="s">
        <v>1107</v>
      </c>
      <c r="H159" s="32">
        <v>45792</v>
      </c>
      <c r="I159" s="32">
        <v>45899</v>
      </c>
      <c r="J159" s="32">
        <v>45899</v>
      </c>
      <c r="K159" s="41">
        <v>8750000</v>
      </c>
      <c r="L159" s="28"/>
      <c r="M159" s="41">
        <v>8750000</v>
      </c>
      <c r="N159" s="28"/>
      <c r="O159" s="28"/>
      <c r="P159" s="28"/>
    </row>
    <row r="160" spans="1:16" ht="67.5" customHeight="1">
      <c r="A160" s="19" t="s">
        <v>1108</v>
      </c>
      <c r="B160" s="20" t="s">
        <v>997</v>
      </c>
      <c r="C160" s="19" t="s">
        <v>404</v>
      </c>
      <c r="D160" s="27">
        <v>1113788186</v>
      </c>
      <c r="E160" s="20" t="s">
        <v>353</v>
      </c>
      <c r="F160" s="19" t="s">
        <v>1109</v>
      </c>
      <c r="G160" s="22" t="s">
        <v>1110</v>
      </c>
      <c r="H160" s="32">
        <v>45792</v>
      </c>
      <c r="I160" s="32">
        <v>45899</v>
      </c>
      <c r="J160" s="32">
        <v>45899</v>
      </c>
      <c r="K160" s="41">
        <v>26250000</v>
      </c>
      <c r="L160" s="28"/>
      <c r="M160" s="41">
        <v>26250000</v>
      </c>
      <c r="N160" s="28"/>
      <c r="O160" s="28"/>
      <c r="P160" s="28"/>
    </row>
    <row r="161" spans="1:16" ht="67.5" customHeight="1">
      <c r="A161" s="19" t="s">
        <v>1111</v>
      </c>
      <c r="B161" s="20" t="s">
        <v>982</v>
      </c>
      <c r="C161" s="19" t="s">
        <v>441</v>
      </c>
      <c r="D161" s="27">
        <v>1116434150</v>
      </c>
      <c r="E161" s="20" t="s">
        <v>353</v>
      </c>
      <c r="F161" s="19" t="s">
        <v>1112</v>
      </c>
      <c r="G161" s="22" t="s">
        <v>1113</v>
      </c>
      <c r="H161" s="32">
        <v>45792</v>
      </c>
      <c r="I161" s="32">
        <v>45899</v>
      </c>
      <c r="J161" s="32">
        <v>45899</v>
      </c>
      <c r="K161" s="41">
        <v>8750000</v>
      </c>
      <c r="L161" s="28"/>
      <c r="M161" s="41">
        <v>8750000</v>
      </c>
      <c r="N161" s="28"/>
      <c r="O161" s="28"/>
      <c r="P161" s="28"/>
    </row>
    <row r="162" spans="1:16" ht="67.5" customHeight="1">
      <c r="A162" s="19" t="s">
        <v>1114</v>
      </c>
      <c r="B162" s="20" t="s">
        <v>993</v>
      </c>
      <c r="C162" s="19" t="s">
        <v>1115</v>
      </c>
      <c r="D162" s="27">
        <v>1006432964</v>
      </c>
      <c r="E162" s="20" t="s">
        <v>353</v>
      </c>
      <c r="F162" s="19" t="s">
        <v>1116</v>
      </c>
      <c r="G162" s="22" t="s">
        <v>1117</v>
      </c>
      <c r="H162" s="24">
        <v>45792</v>
      </c>
      <c r="I162" s="24">
        <v>45899</v>
      </c>
      <c r="J162" s="24">
        <v>45899</v>
      </c>
      <c r="K162" s="25">
        <v>21000000</v>
      </c>
      <c r="L162" s="28"/>
      <c r="M162" s="25">
        <v>21000000</v>
      </c>
      <c r="N162" s="28"/>
      <c r="O162" s="28"/>
      <c r="P162" s="28"/>
    </row>
    <row r="163" spans="1:16" ht="67.5" customHeight="1">
      <c r="A163" s="19" t="s">
        <v>1118</v>
      </c>
      <c r="B163" s="20" t="s">
        <v>982</v>
      </c>
      <c r="C163" s="19" t="s">
        <v>1119</v>
      </c>
      <c r="D163" s="27">
        <v>1116435867</v>
      </c>
      <c r="E163" s="20" t="s">
        <v>353</v>
      </c>
      <c r="F163" s="19" t="s">
        <v>1120</v>
      </c>
      <c r="G163" s="22" t="s">
        <v>1121</v>
      </c>
      <c r="H163" s="32">
        <v>45792</v>
      </c>
      <c r="I163" s="32">
        <v>45899</v>
      </c>
      <c r="J163" s="32">
        <v>45899</v>
      </c>
      <c r="K163" s="41">
        <v>8750000</v>
      </c>
      <c r="L163" s="28"/>
      <c r="M163" s="41">
        <v>8750000</v>
      </c>
      <c r="N163" s="28"/>
      <c r="O163" s="28"/>
      <c r="P163" s="28"/>
    </row>
    <row r="164" spans="1:16" ht="67.5" customHeight="1">
      <c r="A164" s="49" t="s">
        <v>1122</v>
      </c>
      <c r="B164" s="20" t="s">
        <v>982</v>
      </c>
      <c r="C164" s="19" t="s">
        <v>952</v>
      </c>
      <c r="D164" s="27">
        <v>1007502398</v>
      </c>
      <c r="E164" s="20" t="s">
        <v>353</v>
      </c>
      <c r="F164" s="19" t="s">
        <v>1123</v>
      </c>
      <c r="G164" s="22" t="s">
        <v>1124</v>
      </c>
      <c r="H164" s="47">
        <v>45796</v>
      </c>
      <c r="I164" s="32">
        <v>45899</v>
      </c>
      <c r="J164" s="32">
        <v>45899</v>
      </c>
      <c r="K164" s="41">
        <v>8750000</v>
      </c>
      <c r="L164" s="28"/>
      <c r="M164" s="41">
        <v>8750000</v>
      </c>
      <c r="N164" s="28"/>
      <c r="O164" s="28"/>
      <c r="P164" s="28"/>
    </row>
    <row r="165" spans="1:16" ht="67.5" customHeight="1">
      <c r="A165" s="19" t="s">
        <v>1125</v>
      </c>
      <c r="B165" s="20" t="s">
        <v>982</v>
      </c>
      <c r="C165" s="19" t="s">
        <v>948</v>
      </c>
      <c r="D165" s="27">
        <v>1113779575</v>
      </c>
      <c r="E165" s="20" t="s">
        <v>353</v>
      </c>
      <c r="F165" s="19" t="s">
        <v>1126</v>
      </c>
      <c r="G165" s="22" t="s">
        <v>1127</v>
      </c>
      <c r="H165" s="32">
        <v>45796</v>
      </c>
      <c r="I165" s="32">
        <v>45899</v>
      </c>
      <c r="J165" s="32">
        <v>45899</v>
      </c>
      <c r="K165" s="41">
        <v>8750000</v>
      </c>
      <c r="L165" s="28"/>
      <c r="M165" s="41">
        <v>8750000</v>
      </c>
      <c r="N165" s="28"/>
      <c r="O165" s="28"/>
      <c r="P165" s="28"/>
    </row>
    <row r="166" spans="1:16" ht="67.5" customHeight="1">
      <c r="A166" s="19" t="s">
        <v>1128</v>
      </c>
      <c r="B166" s="20" t="s">
        <v>982</v>
      </c>
      <c r="C166" s="19" t="s">
        <v>1129</v>
      </c>
      <c r="D166" s="27">
        <v>60447948</v>
      </c>
      <c r="E166" s="20" t="s">
        <v>353</v>
      </c>
      <c r="F166" s="19" t="s">
        <v>1130</v>
      </c>
      <c r="G166" s="22" t="s">
        <v>1131</v>
      </c>
      <c r="H166" s="32">
        <v>45796</v>
      </c>
      <c r="I166" s="32">
        <v>45899</v>
      </c>
      <c r="J166" s="32">
        <v>45899</v>
      </c>
      <c r="K166" s="41">
        <v>8750000</v>
      </c>
      <c r="L166" s="28"/>
      <c r="M166" s="41">
        <v>8750000</v>
      </c>
      <c r="N166" s="28"/>
      <c r="O166" s="28"/>
      <c r="P166" s="28"/>
    </row>
    <row r="167" spans="1:16" ht="67.5" customHeight="1">
      <c r="A167" s="19" t="s">
        <v>1132</v>
      </c>
      <c r="B167" s="20" t="s">
        <v>982</v>
      </c>
      <c r="C167" s="19" t="s">
        <v>1133</v>
      </c>
      <c r="D167" s="27">
        <v>66703194</v>
      </c>
      <c r="E167" s="20" t="s">
        <v>353</v>
      </c>
      <c r="F167" s="19" t="s">
        <v>1134</v>
      </c>
      <c r="G167" s="22" t="s">
        <v>1135</v>
      </c>
      <c r="H167" s="32">
        <v>45796</v>
      </c>
      <c r="I167" s="32">
        <v>45899</v>
      </c>
      <c r="J167" s="32">
        <v>45899</v>
      </c>
      <c r="K167" s="41">
        <v>8750000</v>
      </c>
      <c r="L167" s="28"/>
      <c r="M167" s="41">
        <v>8750000</v>
      </c>
      <c r="N167" s="28"/>
      <c r="O167" s="28"/>
      <c r="P167" s="28"/>
    </row>
    <row r="168" spans="1:16" ht="67.5" customHeight="1">
      <c r="A168" s="19" t="s">
        <v>1136</v>
      </c>
      <c r="B168" s="20" t="s">
        <v>982</v>
      </c>
      <c r="C168" s="19" t="s">
        <v>1137</v>
      </c>
      <c r="D168" s="27">
        <v>1116448467</v>
      </c>
      <c r="E168" s="20" t="s">
        <v>353</v>
      </c>
      <c r="F168" s="19" t="s">
        <v>1138</v>
      </c>
      <c r="G168" s="22" t="s">
        <v>1139</v>
      </c>
      <c r="H168" s="32">
        <v>45796</v>
      </c>
      <c r="I168" s="32">
        <v>45899</v>
      </c>
      <c r="J168" s="32">
        <v>45899</v>
      </c>
      <c r="K168" s="41">
        <v>8750000</v>
      </c>
      <c r="L168" s="28"/>
      <c r="M168" s="41">
        <v>8750000</v>
      </c>
      <c r="N168" s="28"/>
      <c r="O168" s="28"/>
      <c r="P168" s="28"/>
    </row>
    <row r="169" spans="1:16" ht="67.5" customHeight="1">
      <c r="A169" s="19" t="s">
        <v>1140</v>
      </c>
      <c r="B169" s="20" t="s">
        <v>982</v>
      </c>
      <c r="C169" s="19" t="s">
        <v>1141</v>
      </c>
      <c r="D169" s="27">
        <v>1109665375</v>
      </c>
      <c r="E169" s="20" t="s">
        <v>353</v>
      </c>
      <c r="F169" s="19" t="s">
        <v>1142</v>
      </c>
      <c r="G169" s="22" t="s">
        <v>1143</v>
      </c>
      <c r="H169" s="32">
        <v>45796</v>
      </c>
      <c r="I169" s="32">
        <v>45899</v>
      </c>
      <c r="J169" s="32">
        <v>45899</v>
      </c>
      <c r="K169" s="41">
        <v>8750000</v>
      </c>
      <c r="L169" s="28"/>
      <c r="M169" s="41">
        <v>8750000</v>
      </c>
      <c r="N169" s="28"/>
      <c r="O169" s="28"/>
      <c r="P169" s="28"/>
    </row>
    <row r="170" spans="1:16" ht="67.5" customHeight="1">
      <c r="A170" s="19" t="s">
        <v>1144</v>
      </c>
      <c r="B170" s="20" t="s">
        <v>982</v>
      </c>
      <c r="C170" s="19" t="s">
        <v>1145</v>
      </c>
      <c r="D170" s="27">
        <v>1088274995</v>
      </c>
      <c r="E170" s="20" t="s">
        <v>353</v>
      </c>
      <c r="F170" s="19" t="s">
        <v>1146</v>
      </c>
      <c r="G170" s="22" t="s">
        <v>1147</v>
      </c>
      <c r="H170" s="32">
        <v>45796</v>
      </c>
      <c r="I170" s="32">
        <v>45899</v>
      </c>
      <c r="J170" s="32">
        <v>45899</v>
      </c>
      <c r="K170" s="41">
        <v>8750000</v>
      </c>
      <c r="L170" s="28"/>
      <c r="M170" s="41">
        <v>8750000</v>
      </c>
      <c r="N170" s="28"/>
      <c r="O170" s="28"/>
      <c r="P170" s="28"/>
    </row>
    <row r="171" spans="1:16" ht="67.5" customHeight="1">
      <c r="A171" s="19" t="s">
        <v>1148</v>
      </c>
      <c r="B171" s="20" t="s">
        <v>1149</v>
      </c>
      <c r="C171" s="19" t="s">
        <v>1150</v>
      </c>
      <c r="D171" s="27">
        <v>1116449252</v>
      </c>
      <c r="E171" s="20" t="s">
        <v>353</v>
      </c>
      <c r="F171" s="19" t="s">
        <v>1151</v>
      </c>
      <c r="G171" s="19" t="s">
        <v>1152</v>
      </c>
      <c r="H171" s="32">
        <v>45796</v>
      </c>
      <c r="I171" s="32">
        <v>46022</v>
      </c>
      <c r="J171" s="32">
        <v>46022</v>
      </c>
      <c r="K171" s="41">
        <v>34833333</v>
      </c>
      <c r="L171" s="28"/>
      <c r="M171" s="41">
        <v>34833333</v>
      </c>
      <c r="N171" s="28"/>
      <c r="O171" s="28"/>
      <c r="P171" s="28"/>
    </row>
    <row r="172" spans="1:16" ht="67.5" customHeight="1">
      <c r="A172" s="19" t="s">
        <v>1153</v>
      </c>
      <c r="B172" s="20" t="s">
        <v>993</v>
      </c>
      <c r="C172" s="19" t="s">
        <v>1154</v>
      </c>
      <c r="D172" s="27">
        <v>31499154</v>
      </c>
      <c r="E172" s="20" t="s">
        <v>353</v>
      </c>
      <c r="F172" s="19" t="s">
        <v>1155</v>
      </c>
      <c r="G172" s="19" t="s">
        <v>1156</v>
      </c>
      <c r="H172" s="32">
        <v>45796</v>
      </c>
      <c r="I172" s="32">
        <v>45899</v>
      </c>
      <c r="J172" s="32">
        <v>45899</v>
      </c>
      <c r="K172" s="41">
        <v>21000000</v>
      </c>
      <c r="L172" s="28"/>
      <c r="M172" s="41">
        <v>21000000</v>
      </c>
      <c r="N172" s="28"/>
      <c r="O172" s="28"/>
      <c r="P172" s="28"/>
    </row>
    <row r="173" spans="1:16" ht="67.5" customHeight="1">
      <c r="A173" s="19" t="s">
        <v>1157</v>
      </c>
      <c r="B173" s="20" t="s">
        <v>1158</v>
      </c>
      <c r="C173" s="19" t="s">
        <v>1159</v>
      </c>
      <c r="D173" s="27">
        <v>66680482</v>
      </c>
      <c r="E173" s="20" t="s">
        <v>353</v>
      </c>
      <c r="F173" s="19" t="s">
        <v>1160</v>
      </c>
      <c r="G173" s="19" t="s">
        <v>1161</v>
      </c>
      <c r="H173" s="32">
        <v>45796</v>
      </c>
      <c r="I173" s="32">
        <v>46022</v>
      </c>
      <c r="J173" s="32">
        <v>46022</v>
      </c>
      <c r="K173" s="41">
        <v>44000000</v>
      </c>
      <c r="L173" s="28"/>
      <c r="M173" s="41">
        <v>44000000</v>
      </c>
      <c r="N173" s="28"/>
      <c r="O173" s="28"/>
      <c r="P173" s="28"/>
    </row>
    <row r="174" spans="1:16" ht="67.5" customHeight="1">
      <c r="A174" s="19" t="s">
        <v>1162</v>
      </c>
      <c r="B174" s="71" t="s">
        <v>997</v>
      </c>
      <c r="C174" s="70" t="s">
        <v>1163</v>
      </c>
      <c r="D174" s="27">
        <v>1116274161</v>
      </c>
      <c r="E174" s="20" t="s">
        <v>353</v>
      </c>
      <c r="F174" s="19" t="s">
        <v>1164</v>
      </c>
      <c r="G174" s="19" t="s">
        <v>1165</v>
      </c>
      <c r="H174" s="32">
        <v>45796</v>
      </c>
      <c r="I174" s="32">
        <v>45899</v>
      </c>
      <c r="J174" s="32">
        <v>45899</v>
      </c>
      <c r="K174" s="41">
        <v>26250000</v>
      </c>
      <c r="L174" s="28"/>
      <c r="M174" s="41">
        <v>26250000</v>
      </c>
      <c r="N174" s="28"/>
      <c r="O174" s="28"/>
      <c r="P174" s="28"/>
    </row>
    <row r="175" spans="1:16" ht="67.5" customHeight="1">
      <c r="A175" s="19" t="s">
        <v>1166</v>
      </c>
      <c r="B175" s="20" t="s">
        <v>1167</v>
      </c>
      <c r="C175" s="19" t="s">
        <v>1168</v>
      </c>
      <c r="D175" s="27">
        <v>1007502315</v>
      </c>
      <c r="E175" s="20" t="s">
        <v>353</v>
      </c>
      <c r="F175" s="19" t="s">
        <v>1169</v>
      </c>
      <c r="G175" s="19" t="s">
        <v>1170</v>
      </c>
      <c r="H175" s="24">
        <v>45797</v>
      </c>
      <c r="I175" s="32">
        <v>46022</v>
      </c>
      <c r="J175" s="32">
        <v>46022</v>
      </c>
      <c r="K175" s="41">
        <v>34833333</v>
      </c>
      <c r="L175" s="48"/>
      <c r="M175" s="41">
        <v>34833333</v>
      </c>
      <c r="N175" s="28"/>
      <c r="O175" s="28"/>
      <c r="P175" s="48"/>
    </row>
    <row r="176" spans="1:16" ht="67.5" customHeight="1">
      <c r="A176" s="19" t="s">
        <v>1171</v>
      </c>
      <c r="B176" s="20" t="s">
        <v>1172</v>
      </c>
      <c r="C176" s="19" t="s">
        <v>1173</v>
      </c>
      <c r="D176" s="27">
        <v>1116442906</v>
      </c>
      <c r="E176" s="20" t="s">
        <v>353</v>
      </c>
      <c r="F176" s="19" t="s">
        <v>1174</v>
      </c>
      <c r="G176" s="19" t="s">
        <v>1175</v>
      </c>
      <c r="H176" s="24">
        <v>45797</v>
      </c>
      <c r="I176" s="24">
        <v>46022</v>
      </c>
      <c r="J176" s="24">
        <v>46022</v>
      </c>
      <c r="K176" s="25">
        <v>18333333</v>
      </c>
      <c r="L176" s="28"/>
      <c r="M176" s="25">
        <v>18333333</v>
      </c>
      <c r="N176" s="28"/>
      <c r="O176" s="28"/>
      <c r="P176" s="28"/>
    </row>
    <row r="177" spans="1:16" ht="67.5" customHeight="1">
      <c r="A177" s="19" t="s">
        <v>1176</v>
      </c>
      <c r="B177" s="20" t="s">
        <v>1177</v>
      </c>
      <c r="C177" s="19" t="s">
        <v>1178</v>
      </c>
      <c r="D177" s="27">
        <v>1116784695</v>
      </c>
      <c r="E177" s="20" t="s">
        <v>353</v>
      </c>
      <c r="F177" s="19" t="s">
        <v>1179</v>
      </c>
      <c r="G177" s="19" t="s">
        <v>1180</v>
      </c>
      <c r="H177" s="24">
        <v>45797</v>
      </c>
      <c r="I177" s="24">
        <v>46022</v>
      </c>
      <c r="J177" s="24">
        <v>46022</v>
      </c>
      <c r="K177" s="25">
        <v>34833333</v>
      </c>
      <c r="L177" s="28"/>
      <c r="M177" s="25">
        <v>34833333</v>
      </c>
      <c r="N177" s="28"/>
      <c r="O177" s="28"/>
      <c r="P177" s="28"/>
    </row>
    <row r="178" spans="1:16" ht="67.5" customHeight="1">
      <c r="A178" s="19" t="s">
        <v>1181</v>
      </c>
      <c r="B178" s="20" t="s">
        <v>1182</v>
      </c>
      <c r="C178" s="19" t="s">
        <v>1183</v>
      </c>
      <c r="D178" s="50">
        <v>1007753112</v>
      </c>
      <c r="E178" s="38" t="s">
        <v>353</v>
      </c>
      <c r="F178" s="49" t="s">
        <v>1184</v>
      </c>
      <c r="G178" s="49" t="s">
        <v>1185</v>
      </c>
      <c r="H178" s="31">
        <v>45797</v>
      </c>
      <c r="I178" s="32">
        <v>45899</v>
      </c>
      <c r="J178" s="32">
        <v>45899</v>
      </c>
      <c r="K178" s="41">
        <v>16625000</v>
      </c>
      <c r="L178" s="28"/>
      <c r="M178" s="41">
        <v>16625000</v>
      </c>
      <c r="N178" s="28"/>
      <c r="O178" s="28"/>
      <c r="P178" s="28"/>
    </row>
    <row r="179" spans="1:16" ht="67.5" customHeight="1">
      <c r="A179" s="19" t="s">
        <v>1186</v>
      </c>
      <c r="B179" s="20" t="s">
        <v>1187</v>
      </c>
      <c r="C179" s="20" t="s">
        <v>415</v>
      </c>
      <c r="D179" s="38" t="s">
        <v>416</v>
      </c>
      <c r="E179" s="38" t="s">
        <v>361</v>
      </c>
      <c r="F179" s="49" t="s">
        <v>1188</v>
      </c>
      <c r="G179" s="51" t="s">
        <v>1189</v>
      </c>
      <c r="H179" s="31">
        <v>45797</v>
      </c>
      <c r="I179" s="24">
        <v>45869</v>
      </c>
      <c r="J179" s="24">
        <v>45900</v>
      </c>
      <c r="K179" s="25">
        <v>40000000</v>
      </c>
      <c r="L179" s="25">
        <v>16000000</v>
      </c>
      <c r="M179" s="25">
        <f>40000000+L179</f>
        <v>56000000</v>
      </c>
      <c r="N179" s="24">
        <v>45862</v>
      </c>
      <c r="O179" s="27" t="s">
        <v>1190</v>
      </c>
      <c r="P179" s="26" t="s">
        <v>1191</v>
      </c>
    </row>
    <row r="180" spans="1:16" ht="67.5" customHeight="1">
      <c r="A180" s="19" t="s">
        <v>1192</v>
      </c>
      <c r="B180" s="20" t="s">
        <v>1088</v>
      </c>
      <c r="C180" s="20" t="s">
        <v>398</v>
      </c>
      <c r="D180" s="38">
        <v>6558805</v>
      </c>
      <c r="E180" s="38" t="s">
        <v>353</v>
      </c>
      <c r="F180" s="49" t="s">
        <v>1193</v>
      </c>
      <c r="G180" s="51" t="s">
        <v>1194</v>
      </c>
      <c r="H180" s="31">
        <v>45803</v>
      </c>
      <c r="I180" s="24">
        <v>46022</v>
      </c>
      <c r="J180" s="24">
        <v>46022</v>
      </c>
      <c r="K180" s="25">
        <v>55000000</v>
      </c>
      <c r="L180" s="28"/>
      <c r="M180" s="25">
        <v>55000000</v>
      </c>
      <c r="N180" s="28"/>
      <c r="O180" s="28"/>
      <c r="P180" s="28"/>
    </row>
    <row r="181" spans="1:16" ht="67.5" customHeight="1">
      <c r="A181" s="19" t="s">
        <v>1195</v>
      </c>
      <c r="B181" s="20" t="s">
        <v>1196</v>
      </c>
      <c r="C181" s="33" t="s">
        <v>471</v>
      </c>
      <c r="D181" s="52" t="s">
        <v>472</v>
      </c>
      <c r="E181" s="38" t="s">
        <v>353</v>
      </c>
      <c r="F181" s="49" t="s">
        <v>1197</v>
      </c>
      <c r="G181" s="51" t="s">
        <v>1198</v>
      </c>
      <c r="H181" s="31">
        <v>45803</v>
      </c>
      <c r="I181" s="24">
        <v>45869</v>
      </c>
      <c r="J181" s="24">
        <v>45869</v>
      </c>
      <c r="K181" s="25">
        <v>19250000</v>
      </c>
      <c r="L181" s="28"/>
      <c r="M181" s="25">
        <v>19250000</v>
      </c>
      <c r="N181" s="28"/>
      <c r="O181" s="28"/>
      <c r="P181" s="28"/>
    </row>
    <row r="182" spans="1:16" ht="67.5" customHeight="1">
      <c r="A182" s="19" t="s">
        <v>1199</v>
      </c>
      <c r="B182" s="20" t="s">
        <v>1200</v>
      </c>
      <c r="C182" s="20" t="s">
        <v>1201</v>
      </c>
      <c r="D182" s="38">
        <v>5180493</v>
      </c>
      <c r="E182" s="38" t="s">
        <v>353</v>
      </c>
      <c r="F182" s="49" t="s">
        <v>1202</v>
      </c>
      <c r="G182" s="51" t="s">
        <v>1203</v>
      </c>
      <c r="H182" s="31">
        <v>45803</v>
      </c>
      <c r="I182" s="24">
        <v>45899</v>
      </c>
      <c r="J182" s="24">
        <v>45899</v>
      </c>
      <c r="K182" s="25">
        <v>7500000</v>
      </c>
      <c r="L182" s="28"/>
      <c r="M182" s="25">
        <v>7500000</v>
      </c>
      <c r="N182" s="28"/>
      <c r="O182" s="28"/>
      <c r="P182" s="28"/>
    </row>
    <row r="183" spans="1:16" ht="67.5" customHeight="1">
      <c r="A183" s="19" t="s">
        <v>1204</v>
      </c>
      <c r="B183" s="20" t="s">
        <v>1200</v>
      </c>
      <c r="C183" s="20" t="s">
        <v>1205</v>
      </c>
      <c r="D183" s="20">
        <v>1034299904</v>
      </c>
      <c r="E183" s="20" t="s">
        <v>353</v>
      </c>
      <c r="F183" s="19" t="s">
        <v>1206</v>
      </c>
      <c r="G183" s="22" t="s">
        <v>1207</v>
      </c>
      <c r="H183" s="24">
        <v>45805</v>
      </c>
      <c r="I183" s="24">
        <v>45899</v>
      </c>
      <c r="J183" s="24">
        <v>45899</v>
      </c>
      <c r="K183" s="25">
        <v>7500000</v>
      </c>
      <c r="L183" s="28"/>
      <c r="M183" s="25">
        <v>7500000</v>
      </c>
      <c r="N183" s="28"/>
      <c r="O183" s="28"/>
      <c r="P183" s="28"/>
    </row>
    <row r="184" spans="1:16" ht="67.5" customHeight="1">
      <c r="A184" s="19" t="s">
        <v>1208</v>
      </c>
      <c r="B184" s="20" t="s">
        <v>1200</v>
      </c>
      <c r="C184" s="20" t="s">
        <v>1209</v>
      </c>
      <c r="D184" s="20">
        <v>1116433886</v>
      </c>
      <c r="E184" s="20" t="s">
        <v>353</v>
      </c>
      <c r="F184" s="19" t="s">
        <v>1210</v>
      </c>
      <c r="G184" s="22" t="s">
        <v>1211</v>
      </c>
      <c r="H184" s="24">
        <v>45805</v>
      </c>
      <c r="I184" s="24">
        <v>45899</v>
      </c>
      <c r="J184" s="24">
        <v>45899</v>
      </c>
      <c r="K184" s="25">
        <v>7500000</v>
      </c>
      <c r="L184" s="28"/>
      <c r="M184" s="25">
        <v>7500000</v>
      </c>
      <c r="N184" s="28"/>
      <c r="O184" s="28"/>
      <c r="P184" s="28"/>
    </row>
    <row r="185" spans="1:16" ht="67.5" customHeight="1">
      <c r="A185" s="19" t="s">
        <v>1212</v>
      </c>
      <c r="B185" s="20" t="s">
        <v>1200</v>
      </c>
      <c r="C185" s="20" t="s">
        <v>1213</v>
      </c>
      <c r="D185" s="20">
        <v>1113788178</v>
      </c>
      <c r="E185" s="20" t="s">
        <v>353</v>
      </c>
      <c r="F185" s="19" t="s">
        <v>1214</v>
      </c>
      <c r="G185" s="22" t="s">
        <v>1215</v>
      </c>
      <c r="H185" s="24">
        <v>45805</v>
      </c>
      <c r="I185" s="24">
        <v>45899</v>
      </c>
      <c r="J185" s="24">
        <v>45899</v>
      </c>
      <c r="K185" s="25">
        <v>7500000</v>
      </c>
      <c r="L185" s="28"/>
      <c r="M185" s="25">
        <v>7500000</v>
      </c>
      <c r="N185" s="28"/>
      <c r="O185" s="28"/>
      <c r="P185" s="28"/>
    </row>
    <row r="186" spans="1:16" ht="67.5" customHeight="1">
      <c r="A186" s="19" t="s">
        <v>1216</v>
      </c>
      <c r="B186" s="20" t="s">
        <v>1200</v>
      </c>
      <c r="C186" s="20" t="s">
        <v>1217</v>
      </c>
      <c r="D186" s="20">
        <v>1113782455</v>
      </c>
      <c r="E186" s="20" t="s">
        <v>353</v>
      </c>
      <c r="F186" s="19" t="s">
        <v>1218</v>
      </c>
      <c r="G186" s="22" t="s">
        <v>1219</v>
      </c>
      <c r="H186" s="24">
        <v>45805</v>
      </c>
      <c r="I186" s="24">
        <v>45899</v>
      </c>
      <c r="J186" s="24">
        <v>45899</v>
      </c>
      <c r="K186" s="25">
        <v>7500000</v>
      </c>
      <c r="L186" s="28"/>
      <c r="M186" s="25">
        <v>7500000</v>
      </c>
      <c r="N186" s="28"/>
      <c r="O186" s="28"/>
      <c r="P186" s="28"/>
    </row>
    <row r="187" spans="1:16" ht="67.5" customHeight="1">
      <c r="A187" s="19" t="s">
        <v>1220</v>
      </c>
      <c r="B187" s="20" t="s">
        <v>1221</v>
      </c>
      <c r="C187" s="20" t="s">
        <v>1222</v>
      </c>
      <c r="D187" s="20">
        <v>16550856</v>
      </c>
      <c r="E187" s="20" t="s">
        <v>353</v>
      </c>
      <c r="F187" s="19" t="s">
        <v>1223</v>
      </c>
      <c r="G187" s="22" t="s">
        <v>1224</v>
      </c>
      <c r="H187" s="24">
        <v>45805</v>
      </c>
      <c r="I187" s="24">
        <v>45899</v>
      </c>
      <c r="J187" s="24">
        <v>45899</v>
      </c>
      <c r="K187" s="25">
        <v>4500000</v>
      </c>
      <c r="L187" s="25">
        <v>1800000</v>
      </c>
      <c r="M187" s="25">
        <f>4500000+L187</f>
        <v>6300000</v>
      </c>
      <c r="N187" s="24">
        <v>45821</v>
      </c>
      <c r="O187" s="27" t="s">
        <v>1225</v>
      </c>
      <c r="P187" s="27" t="s">
        <v>1226</v>
      </c>
    </row>
    <row r="188" spans="1:16" ht="67.5" customHeight="1">
      <c r="A188" s="19" t="s">
        <v>1227</v>
      </c>
      <c r="B188" s="20" t="s">
        <v>1221</v>
      </c>
      <c r="C188" s="20" t="s">
        <v>1228</v>
      </c>
      <c r="D188" s="20">
        <v>1113793500</v>
      </c>
      <c r="E188" s="20" t="s">
        <v>353</v>
      </c>
      <c r="F188" s="19" t="s">
        <v>1229</v>
      </c>
      <c r="G188" s="22" t="s">
        <v>1230</v>
      </c>
      <c r="H188" s="24">
        <v>45805</v>
      </c>
      <c r="I188" s="24">
        <v>45899</v>
      </c>
      <c r="J188" s="24">
        <v>45899</v>
      </c>
      <c r="K188" s="25">
        <v>4500000</v>
      </c>
      <c r="L188" s="25">
        <v>1800000</v>
      </c>
      <c r="M188" s="25">
        <f>4500000+L188</f>
        <v>6300000</v>
      </c>
      <c r="N188" s="24">
        <v>45821</v>
      </c>
      <c r="O188" s="27" t="s">
        <v>1231</v>
      </c>
      <c r="P188" s="27" t="s">
        <v>1232</v>
      </c>
    </row>
    <row r="189" spans="1:16" ht="67.5" customHeight="1">
      <c r="A189" s="19" t="s">
        <v>1233</v>
      </c>
      <c r="B189" s="20" t="s">
        <v>1234</v>
      </c>
      <c r="C189" s="20" t="s">
        <v>1235</v>
      </c>
      <c r="D189" s="20">
        <v>1113779076</v>
      </c>
      <c r="E189" s="20" t="s">
        <v>353</v>
      </c>
      <c r="F189" s="19" t="s">
        <v>1236</v>
      </c>
      <c r="G189" s="22" t="s">
        <v>1237</v>
      </c>
      <c r="H189" s="24">
        <v>45805</v>
      </c>
      <c r="I189" s="24">
        <v>45899</v>
      </c>
      <c r="J189" s="24">
        <v>45899</v>
      </c>
      <c r="K189" s="25">
        <v>18000000</v>
      </c>
      <c r="L189" s="28"/>
      <c r="M189" s="25">
        <v>18000000</v>
      </c>
      <c r="N189" s="28"/>
      <c r="O189" s="28"/>
      <c r="P189" s="28"/>
    </row>
    <row r="190" spans="1:16" ht="67.5" customHeight="1">
      <c r="A190" s="19" t="s">
        <v>1238</v>
      </c>
      <c r="B190" s="20" t="s">
        <v>1239</v>
      </c>
      <c r="C190" s="20" t="s">
        <v>397</v>
      </c>
      <c r="D190" s="20">
        <v>1130632570</v>
      </c>
      <c r="E190" s="20" t="s">
        <v>353</v>
      </c>
      <c r="F190" s="19" t="s">
        <v>1240</v>
      </c>
      <c r="G190" s="22" t="s">
        <v>1241</v>
      </c>
      <c r="H190" s="24">
        <v>45805</v>
      </c>
      <c r="I190" s="24">
        <v>45899</v>
      </c>
      <c r="J190" s="24">
        <v>45899</v>
      </c>
      <c r="K190" s="25">
        <v>24000000</v>
      </c>
      <c r="L190" s="28"/>
      <c r="M190" s="25">
        <v>24000000</v>
      </c>
      <c r="N190" s="28"/>
      <c r="O190" s="28"/>
      <c r="P190" s="28"/>
    </row>
    <row r="191" spans="1:16" ht="67.5" customHeight="1">
      <c r="A191" s="19" t="s">
        <v>1242</v>
      </c>
      <c r="B191" s="20" t="s">
        <v>1239</v>
      </c>
      <c r="C191" s="20" t="s">
        <v>1243</v>
      </c>
      <c r="D191" s="20">
        <v>1116281481</v>
      </c>
      <c r="E191" s="20" t="s">
        <v>353</v>
      </c>
      <c r="F191" s="19" t="s">
        <v>1244</v>
      </c>
      <c r="G191" s="22" t="s">
        <v>1245</v>
      </c>
      <c r="H191" s="24">
        <v>45805</v>
      </c>
      <c r="I191" s="24">
        <v>45899</v>
      </c>
      <c r="J191" s="24">
        <v>45899</v>
      </c>
      <c r="K191" s="25">
        <v>24000000</v>
      </c>
      <c r="L191" s="28"/>
      <c r="M191" s="25">
        <v>24000000</v>
      </c>
      <c r="N191" s="28"/>
      <c r="O191" s="28"/>
      <c r="P191" s="28"/>
    </row>
    <row r="192" spans="1:16" ht="67.5" customHeight="1">
      <c r="A192" s="19" t="s">
        <v>1246</v>
      </c>
      <c r="B192" s="20" t="s">
        <v>1247</v>
      </c>
      <c r="C192" s="20" t="s">
        <v>1248</v>
      </c>
      <c r="D192" s="20">
        <v>1113781795</v>
      </c>
      <c r="E192" s="20" t="s">
        <v>353</v>
      </c>
      <c r="F192" s="19" t="s">
        <v>1249</v>
      </c>
      <c r="G192" s="22" t="s">
        <v>1250</v>
      </c>
      <c r="H192" s="24">
        <v>45805</v>
      </c>
      <c r="I192" s="24">
        <v>45899</v>
      </c>
      <c r="J192" s="24">
        <v>45899</v>
      </c>
      <c r="K192" s="25">
        <v>9000000</v>
      </c>
      <c r="L192" s="28"/>
      <c r="M192" s="25">
        <v>9000000</v>
      </c>
      <c r="N192" s="28"/>
      <c r="O192" s="28"/>
      <c r="P192" s="28"/>
    </row>
    <row r="193" spans="1:16" ht="67.5" customHeight="1">
      <c r="A193" s="19" t="s">
        <v>1251</v>
      </c>
      <c r="B193" s="20" t="s">
        <v>1247</v>
      </c>
      <c r="C193" s="20" t="s">
        <v>1252</v>
      </c>
      <c r="D193" s="20">
        <v>1114209881</v>
      </c>
      <c r="E193" s="20" t="s">
        <v>353</v>
      </c>
      <c r="F193" s="19" t="s">
        <v>1253</v>
      </c>
      <c r="G193" s="22" t="s">
        <v>1254</v>
      </c>
      <c r="H193" s="24">
        <v>45806</v>
      </c>
      <c r="I193" s="24">
        <v>45899</v>
      </c>
      <c r="J193" s="24">
        <v>45899</v>
      </c>
      <c r="K193" s="25">
        <v>9000000</v>
      </c>
      <c r="L193" s="28"/>
      <c r="M193" s="25">
        <v>9000000</v>
      </c>
      <c r="N193" s="28"/>
      <c r="O193" s="28"/>
      <c r="P193" s="28"/>
    </row>
    <row r="194" spans="1:16" ht="67.5" customHeight="1">
      <c r="A194" s="19" t="s">
        <v>1255</v>
      </c>
      <c r="B194" s="20" t="s">
        <v>1247</v>
      </c>
      <c r="C194" s="20" t="s">
        <v>1256</v>
      </c>
      <c r="D194" s="20">
        <v>66871149</v>
      </c>
      <c r="E194" s="20" t="s">
        <v>353</v>
      </c>
      <c r="F194" s="19" t="s">
        <v>1257</v>
      </c>
      <c r="G194" s="22" t="s">
        <v>1258</v>
      </c>
      <c r="H194" s="24">
        <v>45806</v>
      </c>
      <c r="I194" s="24">
        <v>45899</v>
      </c>
      <c r="J194" s="24">
        <v>45899</v>
      </c>
      <c r="K194" s="25">
        <v>9000000</v>
      </c>
      <c r="L194" s="28"/>
      <c r="M194" s="25">
        <v>9000000</v>
      </c>
      <c r="N194" s="28"/>
      <c r="O194" s="28"/>
      <c r="P194" s="28"/>
    </row>
    <row r="195" spans="1:16" ht="67.5" customHeight="1">
      <c r="A195" s="19" t="s">
        <v>1259</v>
      </c>
      <c r="B195" s="20" t="s">
        <v>1247</v>
      </c>
      <c r="C195" s="20" t="s">
        <v>1260</v>
      </c>
      <c r="D195" s="20">
        <v>1007630512</v>
      </c>
      <c r="E195" s="20" t="s">
        <v>353</v>
      </c>
      <c r="F195" s="19" t="s">
        <v>1261</v>
      </c>
      <c r="G195" s="22" t="s">
        <v>1262</v>
      </c>
      <c r="H195" s="24">
        <v>45806</v>
      </c>
      <c r="I195" s="24">
        <v>45899</v>
      </c>
      <c r="J195" s="24">
        <v>45899</v>
      </c>
      <c r="K195" s="25">
        <v>9000000</v>
      </c>
      <c r="L195" s="28"/>
      <c r="M195" s="25">
        <v>9000000</v>
      </c>
      <c r="N195" s="28"/>
      <c r="O195" s="28"/>
      <c r="P195" s="28"/>
    </row>
    <row r="196" spans="1:16" ht="67.5" customHeight="1">
      <c r="A196" s="19" t="s">
        <v>1263</v>
      </c>
      <c r="B196" s="20" t="s">
        <v>1247</v>
      </c>
      <c r="C196" s="20" t="s">
        <v>1264</v>
      </c>
      <c r="D196" s="20">
        <v>1113778889</v>
      </c>
      <c r="E196" s="20" t="s">
        <v>353</v>
      </c>
      <c r="F196" s="19" t="s">
        <v>1265</v>
      </c>
      <c r="G196" s="22" t="s">
        <v>1266</v>
      </c>
      <c r="H196" s="24">
        <v>45806</v>
      </c>
      <c r="I196" s="24">
        <v>45899</v>
      </c>
      <c r="J196" s="24">
        <v>45899</v>
      </c>
      <c r="K196" s="25">
        <v>9000000</v>
      </c>
      <c r="L196" s="28"/>
      <c r="M196" s="25">
        <v>9000000</v>
      </c>
      <c r="N196" s="28"/>
      <c r="O196" s="28"/>
      <c r="P196" s="28"/>
    </row>
    <row r="197" spans="1:16" ht="67.5" customHeight="1">
      <c r="A197" s="19" t="s">
        <v>1267</v>
      </c>
      <c r="B197" s="20" t="s">
        <v>1268</v>
      </c>
      <c r="C197" s="20" t="s">
        <v>1269</v>
      </c>
      <c r="D197" s="20">
        <v>1119150015</v>
      </c>
      <c r="E197" s="20" t="s">
        <v>353</v>
      </c>
      <c r="F197" s="19" t="s">
        <v>1270</v>
      </c>
      <c r="G197" s="22" t="s">
        <v>1271</v>
      </c>
      <c r="H197" s="24">
        <v>45806</v>
      </c>
      <c r="I197" s="24">
        <v>45899</v>
      </c>
      <c r="J197" s="24">
        <v>45899</v>
      </c>
      <c r="K197" s="25">
        <v>4500000</v>
      </c>
      <c r="L197" s="25">
        <v>1800000</v>
      </c>
      <c r="M197" s="25">
        <f>4500000+L197</f>
        <v>6300000</v>
      </c>
      <c r="N197" s="24">
        <v>45821</v>
      </c>
      <c r="O197" s="27" t="s">
        <v>1272</v>
      </c>
      <c r="P197" s="27" t="s">
        <v>1273</v>
      </c>
    </row>
    <row r="198" spans="1:16" ht="67.5" customHeight="1">
      <c r="A198" s="19" t="s">
        <v>1274</v>
      </c>
      <c r="B198" s="20" t="s">
        <v>1275</v>
      </c>
      <c r="C198" s="20" t="s">
        <v>1276</v>
      </c>
      <c r="D198" s="20">
        <v>1112627237</v>
      </c>
      <c r="E198" s="20" t="s">
        <v>353</v>
      </c>
      <c r="F198" s="19" t="s">
        <v>1277</v>
      </c>
      <c r="G198" s="22" t="s">
        <v>1278</v>
      </c>
      <c r="H198" s="32">
        <v>45806</v>
      </c>
      <c r="I198" s="24">
        <v>45899</v>
      </c>
      <c r="J198" s="24">
        <v>45899</v>
      </c>
      <c r="K198" s="41">
        <v>14250000</v>
      </c>
      <c r="L198" s="28"/>
      <c r="M198" s="41">
        <v>14250000</v>
      </c>
      <c r="N198" s="28"/>
      <c r="O198" s="28"/>
      <c r="P198" s="28"/>
    </row>
    <row r="199" spans="1:16" ht="67.5" customHeight="1">
      <c r="A199" s="19" t="s">
        <v>1279</v>
      </c>
      <c r="B199" s="20" t="s">
        <v>1177</v>
      </c>
      <c r="C199" s="20" t="s">
        <v>1280</v>
      </c>
      <c r="D199" s="20">
        <v>1113782095</v>
      </c>
      <c r="E199" s="20" t="s">
        <v>353</v>
      </c>
      <c r="F199" s="19" t="s">
        <v>1281</v>
      </c>
      <c r="G199" s="22" t="s">
        <v>1282</v>
      </c>
      <c r="H199" s="24">
        <v>45807</v>
      </c>
      <c r="I199" s="24">
        <v>46022</v>
      </c>
      <c r="J199" s="24">
        <v>46022</v>
      </c>
      <c r="K199" s="41">
        <v>33250000</v>
      </c>
      <c r="L199" s="28"/>
      <c r="M199" s="41">
        <v>33250000</v>
      </c>
      <c r="N199" s="28"/>
      <c r="O199" s="28"/>
      <c r="P199" s="28"/>
    </row>
    <row r="200" spans="1:16" ht="67.5" customHeight="1">
      <c r="A200" s="19" t="s">
        <v>1283</v>
      </c>
      <c r="B200" s="20" t="s">
        <v>982</v>
      </c>
      <c r="C200" s="20" t="s">
        <v>1284</v>
      </c>
      <c r="D200" s="20">
        <v>1116435819</v>
      </c>
      <c r="E200" s="20" t="s">
        <v>353</v>
      </c>
      <c r="F200" s="19" t="s">
        <v>1285</v>
      </c>
      <c r="G200" s="22" t="s">
        <v>1286</v>
      </c>
      <c r="H200" s="32">
        <v>45807</v>
      </c>
      <c r="I200" s="32">
        <v>45899</v>
      </c>
      <c r="J200" s="32">
        <v>45899</v>
      </c>
      <c r="K200" s="41">
        <v>7500000</v>
      </c>
      <c r="L200" s="28"/>
      <c r="M200" s="41">
        <v>7500000</v>
      </c>
      <c r="N200" s="28"/>
      <c r="O200" s="28"/>
      <c r="P200" s="28"/>
    </row>
    <row r="201" spans="1:16" ht="67.5" customHeight="1">
      <c r="A201" s="19" t="s">
        <v>1287</v>
      </c>
      <c r="B201" s="20" t="s">
        <v>982</v>
      </c>
      <c r="C201" s="20" t="s">
        <v>1288</v>
      </c>
      <c r="D201" s="20">
        <v>1113778450</v>
      </c>
      <c r="E201" s="20" t="s">
        <v>353</v>
      </c>
      <c r="F201" s="19" t="s">
        <v>1289</v>
      </c>
      <c r="G201" s="22" t="s">
        <v>1290</v>
      </c>
      <c r="H201" s="32">
        <v>45807</v>
      </c>
      <c r="I201" s="32">
        <v>45899</v>
      </c>
      <c r="J201" s="32">
        <v>45899</v>
      </c>
      <c r="K201" s="41">
        <v>7500000</v>
      </c>
      <c r="L201" s="28"/>
      <c r="M201" s="41">
        <v>7500000</v>
      </c>
      <c r="N201" s="28"/>
      <c r="O201" s="28"/>
      <c r="P201" s="28"/>
    </row>
    <row r="202" spans="1:16" ht="67.5" customHeight="1">
      <c r="A202" s="19" t="s">
        <v>1291</v>
      </c>
      <c r="B202" s="20" t="s">
        <v>1292</v>
      </c>
      <c r="C202" s="27" t="s">
        <v>1293</v>
      </c>
      <c r="D202" s="27">
        <v>1116449448</v>
      </c>
      <c r="E202" s="20" t="s">
        <v>353</v>
      </c>
      <c r="F202" s="19" t="s">
        <v>1294</v>
      </c>
      <c r="G202" s="22" t="s">
        <v>1295</v>
      </c>
      <c r="H202" s="32">
        <v>45807</v>
      </c>
      <c r="I202" s="32">
        <v>45899</v>
      </c>
      <c r="J202" s="32">
        <v>45899</v>
      </c>
      <c r="K202" s="25">
        <v>14250000</v>
      </c>
      <c r="L202" s="28"/>
      <c r="M202" s="25">
        <v>14250000</v>
      </c>
      <c r="N202" s="28"/>
      <c r="O202" s="28"/>
      <c r="P202" s="28"/>
    </row>
    <row r="203" spans="1:16" ht="67.5" customHeight="1">
      <c r="A203" s="19" t="s">
        <v>1296</v>
      </c>
      <c r="B203" s="20" t="s">
        <v>1297</v>
      </c>
      <c r="C203" s="27" t="s">
        <v>440</v>
      </c>
      <c r="D203" s="27">
        <v>1107079492</v>
      </c>
      <c r="E203" s="20" t="s">
        <v>353</v>
      </c>
      <c r="F203" s="19" t="s">
        <v>1298</v>
      </c>
      <c r="G203" s="22" t="s">
        <v>1299</v>
      </c>
      <c r="H203" s="24">
        <v>45807</v>
      </c>
      <c r="I203" s="24">
        <v>45899</v>
      </c>
      <c r="J203" s="24">
        <v>45899</v>
      </c>
      <c r="K203" s="25">
        <v>22500000</v>
      </c>
      <c r="L203" s="28"/>
      <c r="M203" s="25">
        <v>22500000</v>
      </c>
      <c r="N203" s="28"/>
      <c r="O203" s="28"/>
      <c r="P203" s="28"/>
    </row>
    <row r="204" spans="1:16" ht="67.5" customHeight="1">
      <c r="A204" s="19" t="s">
        <v>1300</v>
      </c>
      <c r="B204" s="20" t="s">
        <v>1032</v>
      </c>
      <c r="C204" s="19" t="s">
        <v>1301</v>
      </c>
      <c r="D204" s="27">
        <v>1144211591</v>
      </c>
      <c r="E204" s="20" t="s">
        <v>353</v>
      </c>
      <c r="F204" s="19" t="s">
        <v>1302</v>
      </c>
      <c r="G204" s="22" t="s">
        <v>1303</v>
      </c>
      <c r="H204" s="24">
        <v>45807</v>
      </c>
      <c r="I204" s="24">
        <v>45899</v>
      </c>
      <c r="J204" s="24">
        <v>45899</v>
      </c>
      <c r="K204" s="25">
        <v>14250000</v>
      </c>
      <c r="L204" s="28"/>
      <c r="M204" s="25">
        <v>14250000</v>
      </c>
      <c r="N204" s="28"/>
      <c r="O204" s="28"/>
      <c r="P204" s="28"/>
    </row>
    <row r="205" spans="1:16" ht="67.5" customHeight="1">
      <c r="A205" s="19" t="s">
        <v>1304</v>
      </c>
      <c r="B205" s="30" t="s">
        <v>1305</v>
      </c>
      <c r="C205" s="20" t="s">
        <v>415</v>
      </c>
      <c r="D205" s="20" t="s">
        <v>416</v>
      </c>
      <c r="E205" s="20" t="s">
        <v>361</v>
      </c>
      <c r="F205" s="19" t="s">
        <v>1306</v>
      </c>
      <c r="G205" s="22" t="s">
        <v>1307</v>
      </c>
      <c r="H205" s="24">
        <v>45811</v>
      </c>
      <c r="I205" s="24">
        <v>45899</v>
      </c>
      <c r="J205" s="24">
        <v>45899</v>
      </c>
      <c r="K205" s="25">
        <v>75000000</v>
      </c>
      <c r="L205" s="28"/>
      <c r="M205" s="25">
        <v>75000000</v>
      </c>
      <c r="N205" s="28"/>
      <c r="O205" s="28"/>
      <c r="P205" s="28"/>
    </row>
    <row r="206" spans="1:16" ht="67.5" customHeight="1">
      <c r="A206" s="22" t="s">
        <v>1308</v>
      </c>
      <c r="B206" s="30" t="s">
        <v>1309</v>
      </c>
      <c r="C206" s="33" t="s">
        <v>471</v>
      </c>
      <c r="D206" s="36" t="s">
        <v>472</v>
      </c>
      <c r="E206" s="30" t="s">
        <v>361</v>
      </c>
      <c r="F206" s="22" t="s">
        <v>1310</v>
      </c>
      <c r="G206" s="22" t="s">
        <v>1311</v>
      </c>
      <c r="H206" s="24">
        <v>45811</v>
      </c>
      <c r="I206" s="24">
        <v>45899</v>
      </c>
      <c r="J206" s="24">
        <v>45899</v>
      </c>
      <c r="K206" s="25">
        <v>25920000</v>
      </c>
      <c r="L206" s="25"/>
      <c r="M206" s="25">
        <f>25920000-L206</f>
        <v>25920000</v>
      </c>
      <c r="N206" s="24"/>
      <c r="O206" s="28"/>
      <c r="P206" s="28"/>
    </row>
    <row r="207" spans="1:16" ht="67.5" customHeight="1">
      <c r="A207" s="22" t="s">
        <v>1312</v>
      </c>
      <c r="B207" s="30" t="s">
        <v>982</v>
      </c>
      <c r="C207" s="33" t="s">
        <v>1313</v>
      </c>
      <c r="D207" s="36">
        <v>1118257276</v>
      </c>
      <c r="E207" s="30" t="s">
        <v>353</v>
      </c>
      <c r="F207" s="22" t="s">
        <v>1314</v>
      </c>
      <c r="G207" s="22" t="s">
        <v>1315</v>
      </c>
      <c r="H207" s="24">
        <v>45811</v>
      </c>
      <c r="I207" s="24">
        <v>45899</v>
      </c>
      <c r="J207" s="24">
        <v>45899</v>
      </c>
      <c r="K207" s="25">
        <v>7500000</v>
      </c>
      <c r="L207" s="28"/>
      <c r="M207" s="25">
        <v>7500000</v>
      </c>
      <c r="N207" s="28"/>
      <c r="O207" s="28"/>
      <c r="P207" s="28"/>
    </row>
    <row r="208" spans="1:16" ht="67.5" customHeight="1">
      <c r="A208" s="22" t="s">
        <v>1316</v>
      </c>
      <c r="B208" s="30" t="s">
        <v>1177</v>
      </c>
      <c r="C208" s="33" t="s">
        <v>1317</v>
      </c>
      <c r="D208" s="36">
        <v>1006290370</v>
      </c>
      <c r="E208" s="30" t="s">
        <v>353</v>
      </c>
      <c r="F208" s="19" t="s">
        <v>1318</v>
      </c>
      <c r="G208" s="22" t="s">
        <v>1319</v>
      </c>
      <c r="H208" s="24">
        <v>45811</v>
      </c>
      <c r="I208" s="24">
        <v>46021</v>
      </c>
      <c r="J208" s="24">
        <v>46021</v>
      </c>
      <c r="K208" s="25">
        <v>33250000</v>
      </c>
      <c r="L208" s="28"/>
      <c r="M208" s="25">
        <v>33250000</v>
      </c>
      <c r="N208" s="28"/>
      <c r="O208" s="28"/>
      <c r="P208" s="28"/>
    </row>
    <row r="209" spans="1:16" ht="67.5" customHeight="1">
      <c r="A209" s="22" t="s">
        <v>1320</v>
      </c>
      <c r="B209" s="30" t="s">
        <v>1321</v>
      </c>
      <c r="C209" s="33" t="s">
        <v>498</v>
      </c>
      <c r="D209" s="36">
        <v>1107040313</v>
      </c>
      <c r="E209" s="30" t="s">
        <v>353</v>
      </c>
      <c r="F209" s="19" t="s">
        <v>1322</v>
      </c>
      <c r="G209" s="22" t="s">
        <v>1323</v>
      </c>
      <c r="H209" s="24">
        <v>45811</v>
      </c>
      <c r="I209" s="24">
        <v>46021</v>
      </c>
      <c r="J209" s="24">
        <v>46021</v>
      </c>
      <c r="K209" s="25">
        <v>17500000</v>
      </c>
      <c r="L209" s="28"/>
      <c r="M209" s="25">
        <v>17500000</v>
      </c>
      <c r="N209" s="28"/>
      <c r="O209" s="28"/>
      <c r="P209" s="28"/>
    </row>
    <row r="210" spans="1:16" ht="67.5" customHeight="1">
      <c r="A210" s="22" t="s">
        <v>1324</v>
      </c>
      <c r="B210" s="30" t="s">
        <v>1297</v>
      </c>
      <c r="C210" s="33" t="s">
        <v>1325</v>
      </c>
      <c r="D210" s="36">
        <v>1116252518</v>
      </c>
      <c r="E210" s="30" t="s">
        <v>353</v>
      </c>
      <c r="F210" s="22" t="s">
        <v>1326</v>
      </c>
      <c r="G210" s="22" t="s">
        <v>1327</v>
      </c>
      <c r="H210" s="24">
        <v>45811</v>
      </c>
      <c r="I210" s="24">
        <v>45899</v>
      </c>
      <c r="J210" s="24">
        <v>45899</v>
      </c>
      <c r="K210" s="25">
        <v>22500000</v>
      </c>
      <c r="L210" s="28"/>
      <c r="M210" s="25">
        <v>22500000</v>
      </c>
      <c r="N210" s="28"/>
      <c r="O210" s="28"/>
      <c r="P210" s="28"/>
    </row>
    <row r="211" spans="1:16" ht="67.5" customHeight="1">
      <c r="A211" s="19" t="s">
        <v>1328</v>
      </c>
      <c r="B211" s="30" t="s">
        <v>1172</v>
      </c>
      <c r="C211" s="33" t="s">
        <v>1329</v>
      </c>
      <c r="D211" s="36">
        <v>1006317098</v>
      </c>
      <c r="E211" s="30" t="s">
        <v>353</v>
      </c>
      <c r="F211" s="19" t="s">
        <v>1330</v>
      </c>
      <c r="G211" s="22" t="s">
        <v>1331</v>
      </c>
      <c r="H211" s="24">
        <v>45824</v>
      </c>
      <c r="I211" s="24">
        <v>46022</v>
      </c>
      <c r="J211" s="24">
        <v>46022</v>
      </c>
      <c r="K211" s="25">
        <v>16166666</v>
      </c>
      <c r="L211" s="28"/>
      <c r="M211" s="25">
        <v>16166666</v>
      </c>
      <c r="N211" s="28"/>
      <c r="O211" s="28"/>
      <c r="P211" s="28"/>
    </row>
    <row r="212" spans="1:16" ht="67.5" customHeight="1">
      <c r="A212" s="19" t="s">
        <v>1332</v>
      </c>
      <c r="B212" s="30" t="s">
        <v>1333</v>
      </c>
      <c r="C212" s="33" t="s">
        <v>1334</v>
      </c>
      <c r="D212" s="36">
        <v>1113788889</v>
      </c>
      <c r="E212" s="30" t="s">
        <v>353</v>
      </c>
      <c r="F212" s="19" t="s">
        <v>1335</v>
      </c>
      <c r="G212" s="22" t="s">
        <v>1336</v>
      </c>
      <c r="H212" s="24">
        <v>45833</v>
      </c>
      <c r="I212" s="24">
        <v>45899</v>
      </c>
      <c r="J212" s="24">
        <v>45899</v>
      </c>
      <c r="K212" s="25">
        <v>12000000</v>
      </c>
      <c r="L212" s="28"/>
      <c r="M212" s="25">
        <v>12000000</v>
      </c>
      <c r="N212" s="28"/>
      <c r="O212" s="28"/>
      <c r="P212" s="28"/>
    </row>
    <row r="213" spans="1:16" ht="67.5" customHeight="1">
      <c r="A213" s="19" t="s">
        <v>1337</v>
      </c>
      <c r="B213" s="30" t="s">
        <v>779</v>
      </c>
      <c r="C213" s="33" t="s">
        <v>1338</v>
      </c>
      <c r="D213" s="36">
        <v>14699232</v>
      </c>
      <c r="E213" s="20" t="s">
        <v>353</v>
      </c>
      <c r="F213" s="19" t="s">
        <v>1339</v>
      </c>
      <c r="G213" s="22" t="s">
        <v>1340</v>
      </c>
      <c r="H213" s="24">
        <v>45833</v>
      </c>
      <c r="I213" s="24">
        <v>45899</v>
      </c>
      <c r="J213" s="24">
        <v>45899</v>
      </c>
      <c r="K213" s="25">
        <v>15000000</v>
      </c>
      <c r="L213" s="28"/>
      <c r="M213" s="25">
        <v>15000000</v>
      </c>
      <c r="N213" s="28"/>
      <c r="O213" s="28"/>
      <c r="P213" s="28"/>
    </row>
    <row r="214" spans="1:16" ht="67.5" customHeight="1">
      <c r="A214" s="19" t="s">
        <v>1341</v>
      </c>
      <c r="B214" s="20" t="s">
        <v>1342</v>
      </c>
      <c r="C214" s="33" t="s">
        <v>1343</v>
      </c>
      <c r="D214" s="36">
        <v>1006289454</v>
      </c>
      <c r="E214" s="20" t="s">
        <v>353</v>
      </c>
      <c r="F214" s="19" t="s">
        <v>1344</v>
      </c>
      <c r="G214" s="22" t="s">
        <v>1345</v>
      </c>
      <c r="H214" s="24">
        <v>45839</v>
      </c>
      <c r="I214" s="24">
        <v>45899</v>
      </c>
      <c r="J214" s="24">
        <v>45899</v>
      </c>
      <c r="K214" s="25">
        <v>12000000</v>
      </c>
      <c r="L214" s="28"/>
      <c r="M214" s="25">
        <v>12000000</v>
      </c>
      <c r="N214" s="28"/>
      <c r="O214" s="28"/>
      <c r="P214" s="28"/>
    </row>
    <row r="215" spans="1:16" ht="67.5" customHeight="1">
      <c r="A215" s="19" t="s">
        <v>1346</v>
      </c>
      <c r="B215" s="20" t="s">
        <v>1347</v>
      </c>
      <c r="C215" s="33" t="s">
        <v>1348</v>
      </c>
      <c r="D215" s="36">
        <v>29995946</v>
      </c>
      <c r="E215" s="20" t="s">
        <v>353</v>
      </c>
      <c r="F215" s="19" t="s">
        <v>1349</v>
      </c>
      <c r="G215" s="22" t="s">
        <v>1350</v>
      </c>
      <c r="H215" s="24">
        <v>45839</v>
      </c>
      <c r="I215" s="24">
        <v>46022</v>
      </c>
      <c r="J215" s="24">
        <v>46022</v>
      </c>
      <c r="K215" s="25">
        <v>30000000</v>
      </c>
      <c r="L215" s="28"/>
      <c r="M215" s="25">
        <v>30000000</v>
      </c>
      <c r="N215" s="28"/>
      <c r="O215" s="28"/>
      <c r="P215" s="28"/>
    </row>
    <row r="216" spans="1:16" ht="67.5" customHeight="1">
      <c r="A216" s="19" t="s">
        <v>1351</v>
      </c>
      <c r="B216" s="20" t="s">
        <v>379</v>
      </c>
      <c r="C216" s="20" t="s">
        <v>380</v>
      </c>
      <c r="D216" s="20" t="s">
        <v>381</v>
      </c>
      <c r="E216" s="20" t="s">
        <v>353</v>
      </c>
      <c r="F216" s="19" t="s">
        <v>1352</v>
      </c>
      <c r="G216" s="22" t="s">
        <v>1353</v>
      </c>
      <c r="H216" s="24">
        <v>45839</v>
      </c>
      <c r="I216" s="24">
        <v>46022</v>
      </c>
      <c r="J216" s="24">
        <v>46022</v>
      </c>
      <c r="K216" s="25">
        <v>180000000</v>
      </c>
      <c r="L216" s="25">
        <v>90000000</v>
      </c>
      <c r="M216" s="25">
        <f>180000000+L216</f>
        <v>270000000</v>
      </c>
      <c r="N216" s="24">
        <v>45911</v>
      </c>
      <c r="O216" s="27" t="s">
        <v>1354</v>
      </c>
      <c r="P216" s="27" t="s">
        <v>1355</v>
      </c>
    </row>
    <row r="217" spans="1:16" ht="67.5" customHeight="1">
      <c r="A217" s="19" t="s">
        <v>1356</v>
      </c>
      <c r="B217" s="20" t="s">
        <v>1357</v>
      </c>
      <c r="C217" s="33" t="s">
        <v>1358</v>
      </c>
      <c r="D217" s="36">
        <v>1126704547</v>
      </c>
      <c r="E217" s="20" t="s">
        <v>353</v>
      </c>
      <c r="F217" s="19" t="s">
        <v>1359</v>
      </c>
      <c r="G217" s="22" t="s">
        <v>1360</v>
      </c>
      <c r="H217" s="24">
        <v>45842</v>
      </c>
      <c r="I217" s="24">
        <v>45899</v>
      </c>
      <c r="J217" s="24">
        <v>45899</v>
      </c>
      <c r="K217" s="25">
        <v>4200000</v>
      </c>
      <c r="L217" s="28"/>
      <c r="M217" s="25">
        <v>4200000</v>
      </c>
      <c r="N217" s="28"/>
      <c r="O217" s="28"/>
      <c r="P217" s="28"/>
    </row>
    <row r="218" spans="1:16" ht="67.5" customHeight="1">
      <c r="A218" s="19" t="s">
        <v>1361</v>
      </c>
      <c r="B218" s="20" t="s">
        <v>982</v>
      </c>
      <c r="C218" s="33" t="s">
        <v>1362</v>
      </c>
      <c r="D218" s="36">
        <v>66871597</v>
      </c>
      <c r="E218" s="20" t="s">
        <v>353</v>
      </c>
      <c r="F218" s="19" t="s">
        <v>1363</v>
      </c>
      <c r="G218" s="22" t="s">
        <v>1364</v>
      </c>
      <c r="H218" s="24">
        <v>45859</v>
      </c>
      <c r="I218" s="24">
        <v>45899</v>
      </c>
      <c r="J218" s="24">
        <v>45899</v>
      </c>
      <c r="K218" s="25">
        <v>3750000</v>
      </c>
      <c r="L218" s="28"/>
      <c r="M218" s="25">
        <v>3750000</v>
      </c>
      <c r="N218" s="28"/>
      <c r="O218" s="28"/>
      <c r="P218" s="48"/>
    </row>
    <row r="219" spans="1:16" ht="67.5" customHeight="1">
      <c r="A219" s="19" t="s">
        <v>1365</v>
      </c>
      <c r="B219" s="20" t="s">
        <v>1366</v>
      </c>
      <c r="C219" s="33" t="s">
        <v>471</v>
      </c>
      <c r="D219" s="36" t="s">
        <v>472</v>
      </c>
      <c r="E219" s="20" t="s">
        <v>353</v>
      </c>
      <c r="F219" s="19" t="s">
        <v>1367</v>
      </c>
      <c r="G219" s="22" t="s">
        <v>1368</v>
      </c>
      <c r="H219" s="24">
        <v>45870</v>
      </c>
      <c r="I219" s="24">
        <v>45899</v>
      </c>
      <c r="J219" s="24">
        <v>45899</v>
      </c>
      <c r="K219" s="25">
        <v>19600000</v>
      </c>
      <c r="L219" s="28"/>
      <c r="M219" s="25">
        <v>19600000</v>
      </c>
      <c r="N219" s="28"/>
      <c r="O219" s="28"/>
      <c r="P219" s="28"/>
    </row>
    <row r="220" spans="1:16" ht="67.5" customHeight="1">
      <c r="A220" s="19" t="s">
        <v>1369</v>
      </c>
      <c r="B220" s="20" t="s">
        <v>1370</v>
      </c>
      <c r="C220" s="33" t="s">
        <v>1371</v>
      </c>
      <c r="D220" s="36">
        <v>1116432727</v>
      </c>
      <c r="E220" s="20" t="s">
        <v>353</v>
      </c>
      <c r="F220" s="19" t="s">
        <v>1372</v>
      </c>
      <c r="G220" s="22" t="s">
        <v>1373</v>
      </c>
      <c r="H220" s="24">
        <v>45873</v>
      </c>
      <c r="I220" s="24">
        <v>46022</v>
      </c>
      <c r="J220" s="24">
        <v>46022</v>
      </c>
      <c r="K220" s="25">
        <v>20540455</v>
      </c>
      <c r="L220" s="28"/>
      <c r="M220" s="25">
        <v>20540455</v>
      </c>
      <c r="N220" s="28"/>
      <c r="O220" s="28"/>
      <c r="P220" s="48"/>
    </row>
    <row r="221" spans="1:16" ht="67.5" customHeight="1">
      <c r="A221" s="19" t="s">
        <v>1374</v>
      </c>
      <c r="B221" s="20" t="s">
        <v>1375</v>
      </c>
      <c r="C221" s="33" t="s">
        <v>433</v>
      </c>
      <c r="D221" s="36">
        <v>16226999</v>
      </c>
      <c r="E221" s="30" t="s">
        <v>353</v>
      </c>
      <c r="F221" s="19" t="s">
        <v>1376</v>
      </c>
      <c r="G221" s="22" t="s">
        <v>1377</v>
      </c>
      <c r="H221" s="24">
        <v>45873</v>
      </c>
      <c r="I221" s="24">
        <v>46022</v>
      </c>
      <c r="J221" s="24">
        <v>46022</v>
      </c>
      <c r="K221" s="25">
        <v>12139490</v>
      </c>
      <c r="L221" s="28"/>
      <c r="M221" s="25">
        <v>12139490</v>
      </c>
      <c r="N221" s="28"/>
      <c r="O221" s="28"/>
      <c r="P221" s="28"/>
    </row>
    <row r="222" spans="1:16" ht="67.5" customHeight="1">
      <c r="A222" s="19" t="s">
        <v>1378</v>
      </c>
      <c r="B222" s="20" t="s">
        <v>1379</v>
      </c>
      <c r="C222" s="20" t="s">
        <v>1380</v>
      </c>
      <c r="D222" s="20">
        <v>66684370</v>
      </c>
      <c r="E222" s="20" t="s">
        <v>353</v>
      </c>
      <c r="F222" s="19" t="s">
        <v>1381</v>
      </c>
      <c r="G222" s="22" t="s">
        <v>1382</v>
      </c>
      <c r="H222" s="32">
        <v>45873</v>
      </c>
      <c r="I222" s="24">
        <v>46022</v>
      </c>
      <c r="J222" s="24">
        <v>46022</v>
      </c>
      <c r="K222" s="25">
        <v>11230290</v>
      </c>
      <c r="L222" s="28"/>
      <c r="M222" s="25">
        <v>11230290</v>
      </c>
      <c r="N222" s="28"/>
      <c r="O222" s="28"/>
      <c r="P222" s="28"/>
    </row>
    <row r="223" spans="1:16" ht="67.5" customHeight="1">
      <c r="A223" s="19" t="s">
        <v>1383</v>
      </c>
      <c r="B223" s="20" t="s">
        <v>1384</v>
      </c>
      <c r="C223" s="33" t="s">
        <v>1385</v>
      </c>
      <c r="D223" s="36">
        <v>1113790055</v>
      </c>
      <c r="E223" s="20" t="s">
        <v>353</v>
      </c>
      <c r="F223" s="19" t="s">
        <v>1386</v>
      </c>
      <c r="G223" s="22" t="s">
        <v>1387</v>
      </c>
      <c r="H223" s="32">
        <v>45873</v>
      </c>
      <c r="I223" s="24">
        <v>46022</v>
      </c>
      <c r="J223" s="24">
        <v>46022</v>
      </c>
      <c r="K223" s="25">
        <v>20540455</v>
      </c>
      <c r="L223" s="28"/>
      <c r="M223" s="25">
        <v>20540455</v>
      </c>
      <c r="N223" s="28"/>
      <c r="O223" s="28"/>
      <c r="P223" s="28"/>
    </row>
    <row r="224" spans="1:16" ht="67.5" customHeight="1">
      <c r="A224" s="19" t="s">
        <v>1388</v>
      </c>
      <c r="B224" s="20" t="s">
        <v>1389</v>
      </c>
      <c r="C224" s="33" t="s">
        <v>1390</v>
      </c>
      <c r="D224" s="36">
        <v>1116447232</v>
      </c>
      <c r="E224" s="20" t="s">
        <v>353</v>
      </c>
      <c r="F224" s="19" t="s">
        <v>1391</v>
      </c>
      <c r="G224" s="22" t="s">
        <v>1392</v>
      </c>
      <c r="H224" s="24">
        <v>45873</v>
      </c>
      <c r="I224" s="24">
        <v>46022</v>
      </c>
      <c r="J224" s="24">
        <v>46022</v>
      </c>
      <c r="K224" s="25">
        <v>20540455</v>
      </c>
      <c r="L224" s="28"/>
      <c r="M224" s="25">
        <v>20540455</v>
      </c>
      <c r="N224" s="28"/>
      <c r="O224" s="28"/>
      <c r="P224" s="28"/>
    </row>
    <row r="225" spans="1:16" ht="67.5" customHeight="1">
      <c r="A225" s="19" t="s">
        <v>1393</v>
      </c>
      <c r="B225" s="20" t="s">
        <v>1389</v>
      </c>
      <c r="C225" s="33" t="s">
        <v>1394</v>
      </c>
      <c r="D225" s="36">
        <v>68293606</v>
      </c>
      <c r="E225" s="20" t="s">
        <v>353</v>
      </c>
      <c r="F225" s="19" t="s">
        <v>1395</v>
      </c>
      <c r="G225" s="22" t="s">
        <v>1396</v>
      </c>
      <c r="H225" s="24">
        <v>45873</v>
      </c>
      <c r="I225" s="24">
        <v>46022</v>
      </c>
      <c r="J225" s="24">
        <v>46022</v>
      </c>
      <c r="K225" s="25">
        <v>20540455</v>
      </c>
      <c r="L225" s="28"/>
      <c r="M225" s="25">
        <v>20540455</v>
      </c>
      <c r="N225" s="28"/>
      <c r="O225" s="28"/>
      <c r="P225" s="28"/>
    </row>
    <row r="226" spans="1:16" ht="67.5" customHeight="1">
      <c r="A226" s="19" t="s">
        <v>1397</v>
      </c>
      <c r="B226" s="30" t="s">
        <v>1398</v>
      </c>
      <c r="C226" s="20" t="s">
        <v>1399</v>
      </c>
      <c r="D226" s="20">
        <v>1116445208</v>
      </c>
      <c r="E226" s="20" t="s">
        <v>353</v>
      </c>
      <c r="F226" s="19" t="s">
        <v>1400</v>
      </c>
      <c r="G226" s="22" t="s">
        <v>1401</v>
      </c>
      <c r="H226" s="24">
        <v>45873</v>
      </c>
      <c r="I226" s="24">
        <v>46022</v>
      </c>
      <c r="J226" s="24">
        <v>46022</v>
      </c>
      <c r="K226" s="25">
        <v>19643190</v>
      </c>
      <c r="L226" s="28"/>
      <c r="M226" s="25">
        <v>19643190</v>
      </c>
      <c r="N226" s="28"/>
      <c r="O226" s="28"/>
      <c r="P226" s="28"/>
    </row>
    <row r="227" spans="1:16" ht="67.5" customHeight="1">
      <c r="A227" s="19" t="s">
        <v>1402</v>
      </c>
      <c r="B227" s="20" t="s">
        <v>1398</v>
      </c>
      <c r="C227" s="20" t="s">
        <v>481</v>
      </c>
      <c r="D227" s="20">
        <v>66680880</v>
      </c>
      <c r="E227" s="20" t="s">
        <v>353</v>
      </c>
      <c r="F227" s="19" t="s">
        <v>1403</v>
      </c>
      <c r="G227" s="22" t="s">
        <v>1404</v>
      </c>
      <c r="H227" s="24">
        <v>45873</v>
      </c>
      <c r="I227" s="24">
        <v>46022</v>
      </c>
      <c r="J227" s="24">
        <v>46022</v>
      </c>
      <c r="K227" s="25">
        <v>19643190</v>
      </c>
      <c r="L227" s="28"/>
      <c r="M227" s="25">
        <v>19643190</v>
      </c>
      <c r="N227" s="28"/>
      <c r="O227" s="28"/>
      <c r="P227" s="28"/>
    </row>
    <row r="228" spans="1:16" ht="67.5" customHeight="1">
      <c r="A228" s="19" t="s">
        <v>1405</v>
      </c>
      <c r="B228" s="30" t="s">
        <v>1398</v>
      </c>
      <c r="C228" s="20" t="s">
        <v>1406</v>
      </c>
      <c r="D228" s="20">
        <v>1116436812</v>
      </c>
      <c r="E228" s="20" t="s">
        <v>353</v>
      </c>
      <c r="F228" s="19" t="s">
        <v>1407</v>
      </c>
      <c r="G228" s="22" t="s">
        <v>1408</v>
      </c>
      <c r="H228" s="24">
        <v>45873</v>
      </c>
      <c r="I228" s="24">
        <v>46022</v>
      </c>
      <c r="J228" s="24">
        <v>46022</v>
      </c>
      <c r="K228" s="25">
        <v>19643190</v>
      </c>
      <c r="L228" s="28"/>
      <c r="M228" s="25">
        <v>19643190</v>
      </c>
      <c r="N228" s="28"/>
      <c r="O228" s="28"/>
      <c r="P228" s="28"/>
    </row>
    <row r="229" spans="1:16" ht="67.5" customHeight="1">
      <c r="A229" s="19" t="s">
        <v>1409</v>
      </c>
      <c r="B229" s="30" t="s">
        <v>1375</v>
      </c>
      <c r="C229" s="20" t="s">
        <v>1410</v>
      </c>
      <c r="D229" s="20">
        <v>29507610</v>
      </c>
      <c r="E229" s="30" t="s">
        <v>353</v>
      </c>
      <c r="F229" s="19" t="s">
        <v>1411</v>
      </c>
      <c r="G229" s="19" t="s">
        <v>1412</v>
      </c>
      <c r="H229" s="24">
        <v>45873</v>
      </c>
      <c r="I229" s="24">
        <v>46022</v>
      </c>
      <c r="J229" s="24">
        <v>46022</v>
      </c>
      <c r="K229" s="25">
        <v>11230290</v>
      </c>
      <c r="L229" s="28"/>
      <c r="M229" s="25">
        <v>11230290</v>
      </c>
      <c r="N229" s="28"/>
      <c r="O229" s="28"/>
      <c r="P229" s="28"/>
    </row>
    <row r="230" spans="1:16" ht="67.5" customHeight="1">
      <c r="A230" s="19" t="s">
        <v>1413</v>
      </c>
      <c r="B230" s="20" t="s">
        <v>1414</v>
      </c>
      <c r="C230" s="20" t="s">
        <v>1415</v>
      </c>
      <c r="D230" s="20">
        <v>1116446062</v>
      </c>
      <c r="E230" s="20" t="s">
        <v>353</v>
      </c>
      <c r="F230" s="19" t="s">
        <v>1416</v>
      </c>
      <c r="G230" s="22" t="s">
        <v>1417</v>
      </c>
      <c r="H230" s="24">
        <v>45873</v>
      </c>
      <c r="I230" s="24">
        <v>46022</v>
      </c>
      <c r="J230" s="24">
        <v>46022</v>
      </c>
      <c r="K230" s="25">
        <v>11230290</v>
      </c>
      <c r="L230" s="28"/>
      <c r="M230" s="25">
        <v>11230290</v>
      </c>
      <c r="N230" s="28"/>
      <c r="O230" s="28"/>
      <c r="P230" s="28"/>
    </row>
    <row r="231" spans="1:16" ht="67.5" customHeight="1">
      <c r="A231" s="19" t="s">
        <v>1418</v>
      </c>
      <c r="B231" s="20" t="s">
        <v>1414</v>
      </c>
      <c r="C231" s="20" t="s">
        <v>1419</v>
      </c>
      <c r="D231" s="20">
        <v>1113784517</v>
      </c>
      <c r="E231" s="20" t="s">
        <v>353</v>
      </c>
      <c r="F231" s="19" t="s">
        <v>1420</v>
      </c>
      <c r="G231" s="22" t="s">
        <v>1421</v>
      </c>
      <c r="H231" s="24">
        <v>45873</v>
      </c>
      <c r="I231" s="24">
        <v>46022</v>
      </c>
      <c r="J231" s="24">
        <v>46022</v>
      </c>
      <c r="K231" s="25">
        <v>11230290</v>
      </c>
      <c r="L231" s="28"/>
      <c r="M231" s="25">
        <v>11230290</v>
      </c>
      <c r="N231" s="28"/>
      <c r="O231" s="28"/>
      <c r="P231" s="28"/>
    </row>
    <row r="232" spans="1:16" ht="67.5" customHeight="1">
      <c r="A232" s="19" t="s">
        <v>1422</v>
      </c>
      <c r="B232" s="20" t="s">
        <v>1384</v>
      </c>
      <c r="C232" s="20" t="s">
        <v>1423</v>
      </c>
      <c r="D232" s="20">
        <v>564769</v>
      </c>
      <c r="E232" s="20" t="s">
        <v>353</v>
      </c>
      <c r="F232" s="19" t="s">
        <v>1424</v>
      </c>
      <c r="G232" s="22" t="s">
        <v>1425</v>
      </c>
      <c r="H232" s="24">
        <v>45873</v>
      </c>
      <c r="I232" s="24">
        <v>46022</v>
      </c>
      <c r="J232" s="24">
        <v>46022</v>
      </c>
      <c r="K232" s="25">
        <v>20540455</v>
      </c>
      <c r="L232" s="28"/>
      <c r="M232" s="25">
        <v>20540455</v>
      </c>
      <c r="N232" s="28"/>
      <c r="O232" s="28"/>
      <c r="P232" s="28"/>
    </row>
    <row r="233" spans="1:16" ht="67.5" customHeight="1">
      <c r="A233" s="19" t="s">
        <v>1426</v>
      </c>
      <c r="B233" s="20" t="s">
        <v>1389</v>
      </c>
      <c r="C233" s="20" t="s">
        <v>1427</v>
      </c>
      <c r="D233" s="20">
        <v>31331290</v>
      </c>
      <c r="E233" s="20" t="s">
        <v>353</v>
      </c>
      <c r="F233" s="19" t="s">
        <v>1428</v>
      </c>
      <c r="G233" s="22" t="s">
        <v>1429</v>
      </c>
      <c r="H233" s="24">
        <v>45875</v>
      </c>
      <c r="I233" s="24">
        <v>46022</v>
      </c>
      <c r="J233" s="24">
        <v>46022</v>
      </c>
      <c r="K233" s="25">
        <v>20540455</v>
      </c>
      <c r="L233" s="28"/>
      <c r="M233" s="25">
        <v>20540455</v>
      </c>
      <c r="N233" s="28"/>
      <c r="O233" s="28"/>
      <c r="P233" s="28"/>
    </row>
    <row r="234" spans="1:16" ht="67.5" customHeight="1">
      <c r="A234" s="19" t="s">
        <v>1430</v>
      </c>
      <c r="B234" s="20" t="s">
        <v>1384</v>
      </c>
      <c r="C234" s="20" t="s">
        <v>1431</v>
      </c>
      <c r="D234" s="20">
        <v>1005935960</v>
      </c>
      <c r="E234" s="20" t="s">
        <v>353</v>
      </c>
      <c r="F234" s="19" t="s">
        <v>1432</v>
      </c>
      <c r="G234" s="22" t="s">
        <v>1433</v>
      </c>
      <c r="H234" s="24">
        <v>45875</v>
      </c>
      <c r="I234" s="24">
        <v>46022</v>
      </c>
      <c r="J234" s="24">
        <v>46022</v>
      </c>
      <c r="K234" s="25">
        <v>20540455</v>
      </c>
      <c r="L234" s="28"/>
      <c r="M234" s="25">
        <v>20540455</v>
      </c>
      <c r="N234" s="28"/>
      <c r="O234" s="28"/>
      <c r="P234" s="28"/>
    </row>
    <row r="235" spans="1:16" ht="67.5" customHeight="1">
      <c r="A235" s="19" t="s">
        <v>1434</v>
      </c>
      <c r="B235" s="20" t="s">
        <v>1435</v>
      </c>
      <c r="C235" s="20" t="s">
        <v>443</v>
      </c>
      <c r="D235" s="20" t="s">
        <v>444</v>
      </c>
      <c r="E235" s="20" t="s">
        <v>361</v>
      </c>
      <c r="F235" s="19" t="s">
        <v>1436</v>
      </c>
      <c r="G235" s="22" t="s">
        <v>1437</v>
      </c>
      <c r="H235" s="24">
        <v>45894</v>
      </c>
      <c r="I235" s="24">
        <v>46022</v>
      </c>
      <c r="J235" s="24">
        <v>46022</v>
      </c>
      <c r="K235" s="25">
        <v>9736666</v>
      </c>
      <c r="L235" s="28"/>
      <c r="M235" s="25">
        <v>9736666</v>
      </c>
      <c r="N235" s="28"/>
      <c r="O235" s="28"/>
      <c r="P235" s="28"/>
    </row>
    <row r="236" spans="1:16" ht="67.5" customHeight="1">
      <c r="A236" s="43" t="s">
        <v>39</v>
      </c>
      <c r="B236" s="53" t="s">
        <v>40</v>
      </c>
      <c r="C236" s="54" t="s">
        <v>41</v>
      </c>
      <c r="D236" s="55">
        <v>1121885655</v>
      </c>
      <c r="E236" s="20" t="s">
        <v>1438</v>
      </c>
      <c r="F236" s="43" t="s">
        <v>1439</v>
      </c>
      <c r="G236" s="8">
        <v>894</v>
      </c>
      <c r="H236" s="56">
        <v>45901</v>
      </c>
      <c r="I236" s="56">
        <v>45930</v>
      </c>
      <c r="J236" s="56">
        <v>45930</v>
      </c>
      <c r="K236" s="57">
        <v>2208402</v>
      </c>
      <c r="L236" s="28"/>
      <c r="M236" s="57">
        <v>2208402</v>
      </c>
      <c r="N236" s="28"/>
      <c r="O236" s="28"/>
      <c r="P236" s="28"/>
    </row>
    <row r="237" spans="1:16" ht="67.5" customHeight="1">
      <c r="A237" s="43" t="s">
        <v>42</v>
      </c>
      <c r="B237" s="53" t="s">
        <v>43</v>
      </c>
      <c r="C237" s="54" t="s">
        <v>44</v>
      </c>
      <c r="D237" s="55">
        <v>66872998</v>
      </c>
      <c r="E237" s="20" t="s">
        <v>361</v>
      </c>
      <c r="F237" s="43" t="s">
        <v>1440</v>
      </c>
      <c r="G237" s="8">
        <v>895</v>
      </c>
      <c r="H237" s="56">
        <v>45901</v>
      </c>
      <c r="I237" s="56">
        <v>45930</v>
      </c>
      <c r="J237" s="56">
        <v>45930</v>
      </c>
      <c r="K237" s="57">
        <v>2208402</v>
      </c>
      <c r="L237" s="28"/>
      <c r="M237" s="57">
        <v>2208402</v>
      </c>
      <c r="N237" s="28"/>
      <c r="O237" s="28"/>
      <c r="P237" s="28"/>
    </row>
    <row r="238" spans="1:16" ht="67.5" customHeight="1">
      <c r="A238" s="43" t="s">
        <v>45</v>
      </c>
      <c r="B238" s="53" t="s">
        <v>46</v>
      </c>
      <c r="C238" s="54" t="s">
        <v>47</v>
      </c>
      <c r="D238" s="55">
        <v>1007550027</v>
      </c>
      <c r="E238" s="20" t="s">
        <v>361</v>
      </c>
      <c r="F238" s="43" t="s">
        <v>1441</v>
      </c>
      <c r="G238" s="8">
        <v>896</v>
      </c>
      <c r="H238" s="56">
        <v>45901</v>
      </c>
      <c r="I238" s="56">
        <v>45930</v>
      </c>
      <c r="J238" s="56">
        <v>45930</v>
      </c>
      <c r="K238" s="57">
        <v>2866602</v>
      </c>
      <c r="L238" s="28"/>
      <c r="M238" s="57">
        <v>2866602</v>
      </c>
      <c r="N238" s="28"/>
      <c r="O238" s="28"/>
      <c r="P238" s="28"/>
    </row>
    <row r="239" spans="1:16" ht="67.5" customHeight="1">
      <c r="A239" s="43" t="s">
        <v>48</v>
      </c>
      <c r="B239" s="53" t="s">
        <v>40</v>
      </c>
      <c r="C239" s="54" t="s">
        <v>49</v>
      </c>
      <c r="D239" s="55">
        <v>1116437572</v>
      </c>
      <c r="E239" s="20" t="s">
        <v>361</v>
      </c>
      <c r="F239" s="43" t="s">
        <v>1442</v>
      </c>
      <c r="G239" s="8">
        <v>897</v>
      </c>
      <c r="H239" s="56">
        <v>45901</v>
      </c>
      <c r="I239" s="56">
        <v>45930</v>
      </c>
      <c r="J239" s="56">
        <v>45930</v>
      </c>
      <c r="K239" s="57">
        <v>2208402</v>
      </c>
      <c r="L239" s="28"/>
      <c r="M239" s="57">
        <v>2208402</v>
      </c>
      <c r="N239" s="28"/>
      <c r="O239" s="28"/>
      <c r="P239" s="28"/>
    </row>
    <row r="240" spans="1:16" ht="67.5" customHeight="1">
      <c r="A240" s="43" t="s">
        <v>50</v>
      </c>
      <c r="B240" s="53" t="s">
        <v>51</v>
      </c>
      <c r="C240" s="54" t="s">
        <v>52</v>
      </c>
      <c r="D240" s="55">
        <v>79807608</v>
      </c>
      <c r="E240" s="20" t="s">
        <v>361</v>
      </c>
      <c r="F240" s="43" t="s">
        <v>1443</v>
      </c>
      <c r="G240" s="8">
        <v>898</v>
      </c>
      <c r="H240" s="56">
        <v>45901</v>
      </c>
      <c r="I240" s="56">
        <v>45930</v>
      </c>
      <c r="J240" s="56">
        <v>45930</v>
      </c>
      <c r="K240" s="57">
        <v>2427802</v>
      </c>
      <c r="L240" s="28"/>
      <c r="M240" s="57">
        <v>2427802</v>
      </c>
      <c r="N240" s="28"/>
      <c r="O240" s="28"/>
      <c r="P240" s="28"/>
    </row>
    <row r="241" spans="1:16" ht="67.5" customHeight="1">
      <c r="A241" s="43" t="s">
        <v>53</v>
      </c>
      <c r="B241" s="53" t="s">
        <v>54</v>
      </c>
      <c r="C241" s="54" t="s">
        <v>55</v>
      </c>
      <c r="D241" s="55">
        <v>1002938583</v>
      </c>
      <c r="E241" s="20" t="s">
        <v>1438</v>
      </c>
      <c r="F241" s="43" t="s">
        <v>1444</v>
      </c>
      <c r="G241" s="8">
        <v>899</v>
      </c>
      <c r="H241" s="56">
        <v>45901</v>
      </c>
      <c r="I241" s="56">
        <v>45930</v>
      </c>
      <c r="J241" s="56">
        <v>45930</v>
      </c>
      <c r="K241" s="57">
        <v>2208402</v>
      </c>
      <c r="L241" s="28"/>
      <c r="M241" s="57">
        <v>2208402</v>
      </c>
      <c r="N241" s="28"/>
      <c r="O241" s="28"/>
      <c r="P241" s="28"/>
    </row>
    <row r="242" spans="1:16" ht="67.5" customHeight="1">
      <c r="A242" s="43" t="s">
        <v>1445</v>
      </c>
      <c r="B242" s="53" t="s">
        <v>54</v>
      </c>
      <c r="C242" s="54" t="s">
        <v>1446</v>
      </c>
      <c r="D242" s="55">
        <v>1113790043</v>
      </c>
      <c r="E242" s="20" t="s">
        <v>1438</v>
      </c>
      <c r="F242" s="43" t="s">
        <v>1447</v>
      </c>
      <c r="G242" s="8" t="s">
        <v>530</v>
      </c>
      <c r="H242" s="56">
        <v>45901</v>
      </c>
      <c r="I242" s="56">
        <v>45930</v>
      </c>
      <c r="J242" s="56">
        <v>45930</v>
      </c>
      <c r="K242" s="57">
        <v>2208402</v>
      </c>
      <c r="L242" s="28"/>
      <c r="M242" s="57">
        <v>2208402</v>
      </c>
      <c r="N242" s="28"/>
      <c r="O242" s="28"/>
      <c r="P242" s="28"/>
    </row>
    <row r="243" spans="1:16" ht="67.5" customHeight="1">
      <c r="A243" s="43" t="s">
        <v>56</v>
      </c>
      <c r="B243" s="53" t="s">
        <v>54</v>
      </c>
      <c r="C243" s="54" t="s">
        <v>57</v>
      </c>
      <c r="D243" s="55">
        <v>1113790795</v>
      </c>
      <c r="E243" s="20" t="s">
        <v>361</v>
      </c>
      <c r="F243" s="43" t="s">
        <v>1448</v>
      </c>
      <c r="G243" s="8">
        <v>900</v>
      </c>
      <c r="H243" s="56">
        <v>45901</v>
      </c>
      <c r="I243" s="56">
        <v>45930</v>
      </c>
      <c r="J243" s="56">
        <v>45930</v>
      </c>
      <c r="K243" s="57">
        <v>2208402</v>
      </c>
      <c r="L243" s="28"/>
      <c r="M243" s="57">
        <v>2208402</v>
      </c>
      <c r="N243" s="28"/>
      <c r="O243" s="28"/>
      <c r="P243" s="28"/>
    </row>
    <row r="244" spans="1:16" ht="67.5" customHeight="1">
      <c r="A244" s="43" t="s">
        <v>58</v>
      </c>
      <c r="B244" s="53" t="s">
        <v>59</v>
      </c>
      <c r="C244" s="54" t="s">
        <v>60</v>
      </c>
      <c r="D244" s="55">
        <v>1113783043</v>
      </c>
      <c r="E244" s="20" t="s">
        <v>1438</v>
      </c>
      <c r="F244" s="43" t="s">
        <v>1449</v>
      </c>
      <c r="G244" s="8">
        <v>901</v>
      </c>
      <c r="H244" s="56">
        <v>45901</v>
      </c>
      <c r="I244" s="56">
        <v>45930</v>
      </c>
      <c r="J244" s="56">
        <v>45930</v>
      </c>
      <c r="K244" s="57">
        <v>2427802</v>
      </c>
      <c r="L244" s="28"/>
      <c r="M244" s="57">
        <v>2427802</v>
      </c>
      <c r="N244" s="28"/>
      <c r="O244" s="28"/>
      <c r="P244" s="28"/>
    </row>
    <row r="245" spans="1:16" ht="67.5" customHeight="1">
      <c r="A245" s="43" t="s">
        <v>61</v>
      </c>
      <c r="B245" s="53" t="s">
        <v>59</v>
      </c>
      <c r="C245" s="54" t="s">
        <v>62</v>
      </c>
      <c r="D245" s="55">
        <v>1113785744</v>
      </c>
      <c r="E245" s="20" t="s">
        <v>1438</v>
      </c>
      <c r="F245" s="43" t="s">
        <v>1450</v>
      </c>
      <c r="G245" s="8">
        <v>902</v>
      </c>
      <c r="H245" s="56">
        <v>45901</v>
      </c>
      <c r="I245" s="56">
        <v>45930</v>
      </c>
      <c r="J245" s="56">
        <v>45930</v>
      </c>
      <c r="K245" s="57">
        <v>2427802</v>
      </c>
      <c r="L245" s="28"/>
      <c r="M245" s="57">
        <v>2427802</v>
      </c>
      <c r="N245" s="28"/>
      <c r="O245" s="28"/>
      <c r="P245" s="28"/>
    </row>
    <row r="246" spans="1:16" ht="67.5" customHeight="1">
      <c r="A246" s="43" t="s">
        <v>63</v>
      </c>
      <c r="B246" s="53" t="s">
        <v>59</v>
      </c>
      <c r="C246" s="54" t="s">
        <v>64</v>
      </c>
      <c r="D246" s="55">
        <v>1113787540</v>
      </c>
      <c r="E246" s="20" t="s">
        <v>1438</v>
      </c>
      <c r="F246" s="43" t="s">
        <v>1451</v>
      </c>
      <c r="G246" s="8">
        <v>903</v>
      </c>
      <c r="H246" s="58">
        <v>45901</v>
      </c>
      <c r="I246" s="56">
        <v>45930</v>
      </c>
      <c r="J246" s="56">
        <v>45930</v>
      </c>
      <c r="K246" s="57">
        <v>2427802</v>
      </c>
      <c r="L246" s="28"/>
      <c r="M246" s="57">
        <v>2427802</v>
      </c>
      <c r="N246" s="28"/>
      <c r="O246" s="28"/>
      <c r="P246" s="28"/>
    </row>
    <row r="247" spans="1:16" ht="67.5" customHeight="1">
      <c r="A247" s="43" t="s">
        <v>65</v>
      </c>
      <c r="B247" s="53" t="s">
        <v>59</v>
      </c>
      <c r="C247" s="54" t="s">
        <v>66</v>
      </c>
      <c r="D247" s="55">
        <v>1113786336</v>
      </c>
      <c r="E247" s="20" t="s">
        <v>1438</v>
      </c>
      <c r="F247" s="43" t="s">
        <v>1452</v>
      </c>
      <c r="G247" s="8">
        <v>904</v>
      </c>
      <c r="H247" s="58">
        <v>45901</v>
      </c>
      <c r="I247" s="58">
        <v>45930</v>
      </c>
      <c r="J247" s="58">
        <v>45930</v>
      </c>
      <c r="K247" s="57">
        <v>2427802</v>
      </c>
      <c r="L247" s="28"/>
      <c r="M247" s="57">
        <v>2427802</v>
      </c>
      <c r="N247" s="28"/>
      <c r="O247" s="28"/>
      <c r="P247" s="28"/>
    </row>
    <row r="248" spans="1:16" ht="67.5" customHeight="1">
      <c r="A248" s="43" t="s">
        <v>67</v>
      </c>
      <c r="B248" s="53" t="s">
        <v>54</v>
      </c>
      <c r="C248" s="54" t="s">
        <v>68</v>
      </c>
      <c r="D248" s="55">
        <v>1113780801</v>
      </c>
      <c r="E248" s="20" t="s">
        <v>361</v>
      </c>
      <c r="F248" s="43" t="s">
        <v>1453</v>
      </c>
      <c r="G248" s="8">
        <v>905</v>
      </c>
      <c r="H248" s="58">
        <v>45901</v>
      </c>
      <c r="I248" s="58">
        <v>45930</v>
      </c>
      <c r="J248" s="58">
        <v>45930</v>
      </c>
      <c r="K248" s="57">
        <v>2208402</v>
      </c>
      <c r="L248" s="28"/>
      <c r="M248" s="57">
        <v>2208402</v>
      </c>
      <c r="N248" s="28"/>
      <c r="O248" s="28"/>
      <c r="P248" s="28"/>
    </row>
    <row r="249" spans="1:16" ht="67.5" customHeight="1">
      <c r="A249" s="43" t="s">
        <v>69</v>
      </c>
      <c r="B249" s="53" t="s">
        <v>40</v>
      </c>
      <c r="C249" s="54" t="s">
        <v>70</v>
      </c>
      <c r="D249" s="55">
        <v>66872070</v>
      </c>
      <c r="E249" s="20" t="s">
        <v>1438</v>
      </c>
      <c r="F249" s="43" t="s">
        <v>1454</v>
      </c>
      <c r="G249" s="8">
        <v>906</v>
      </c>
      <c r="H249" s="56">
        <v>45901</v>
      </c>
      <c r="I249" s="56">
        <v>45930</v>
      </c>
      <c r="J249" s="56">
        <v>45930</v>
      </c>
      <c r="K249" s="57">
        <v>2208402</v>
      </c>
      <c r="L249" s="28"/>
      <c r="M249" s="57">
        <v>2208402</v>
      </c>
      <c r="N249" s="28"/>
      <c r="O249" s="28"/>
      <c r="P249" s="28"/>
    </row>
    <row r="250" spans="1:16" ht="67.5" customHeight="1">
      <c r="A250" s="43" t="s">
        <v>71</v>
      </c>
      <c r="B250" s="53" t="s">
        <v>72</v>
      </c>
      <c r="C250" s="54" t="s">
        <v>73</v>
      </c>
      <c r="D250" s="55">
        <v>1112934440</v>
      </c>
      <c r="E250" s="20" t="s">
        <v>1438</v>
      </c>
      <c r="F250" s="43" t="s">
        <v>1455</v>
      </c>
      <c r="G250" s="8">
        <v>907</v>
      </c>
      <c r="H250" s="56">
        <v>45901</v>
      </c>
      <c r="I250" s="56">
        <v>45930</v>
      </c>
      <c r="J250" s="56">
        <v>45930</v>
      </c>
      <c r="K250" s="57">
        <v>2208402</v>
      </c>
      <c r="L250" s="28"/>
      <c r="M250" s="57">
        <v>2208402</v>
      </c>
      <c r="N250" s="28"/>
      <c r="O250" s="28"/>
      <c r="P250" s="28"/>
    </row>
    <row r="251" spans="1:16" ht="67.5" customHeight="1">
      <c r="A251" s="43" t="s">
        <v>74</v>
      </c>
      <c r="B251" s="53" t="s">
        <v>40</v>
      </c>
      <c r="C251" s="54" t="s">
        <v>75</v>
      </c>
      <c r="D251" s="55">
        <v>1116447757</v>
      </c>
      <c r="E251" s="20" t="s">
        <v>1438</v>
      </c>
      <c r="F251" s="43" t="s">
        <v>1456</v>
      </c>
      <c r="G251" s="8">
        <v>908</v>
      </c>
      <c r="H251" s="56">
        <v>45901</v>
      </c>
      <c r="I251" s="56">
        <v>45930</v>
      </c>
      <c r="J251" s="56">
        <v>45930</v>
      </c>
      <c r="K251" s="57">
        <v>2208402</v>
      </c>
      <c r="L251" s="28"/>
      <c r="M251" s="57">
        <v>2208402</v>
      </c>
      <c r="N251" s="28"/>
      <c r="O251" s="28"/>
      <c r="P251" s="28"/>
    </row>
    <row r="252" spans="1:16" ht="67.5" customHeight="1">
      <c r="A252" s="43" t="s">
        <v>76</v>
      </c>
      <c r="B252" s="53" t="s">
        <v>40</v>
      </c>
      <c r="C252" s="54" t="s">
        <v>77</v>
      </c>
      <c r="D252" s="55">
        <v>1113792961</v>
      </c>
      <c r="E252" s="20" t="s">
        <v>1438</v>
      </c>
      <c r="F252" s="43" t="s">
        <v>1457</v>
      </c>
      <c r="G252" s="8">
        <v>909</v>
      </c>
      <c r="H252" s="56">
        <v>45901</v>
      </c>
      <c r="I252" s="56">
        <v>45930</v>
      </c>
      <c r="J252" s="56">
        <v>45930</v>
      </c>
      <c r="K252" s="57">
        <v>2208402</v>
      </c>
      <c r="L252" s="28"/>
      <c r="M252" s="57">
        <v>2208402</v>
      </c>
      <c r="N252" s="28"/>
      <c r="O252" s="28"/>
      <c r="P252" s="28"/>
    </row>
    <row r="253" spans="1:16" ht="67.5" customHeight="1">
      <c r="A253" s="43" t="s">
        <v>78</v>
      </c>
      <c r="B253" s="53" t="s">
        <v>40</v>
      </c>
      <c r="C253" s="54" t="s">
        <v>79</v>
      </c>
      <c r="D253" s="55">
        <v>1007630601</v>
      </c>
      <c r="E253" s="30" t="s">
        <v>1438</v>
      </c>
      <c r="F253" s="43" t="s">
        <v>1458</v>
      </c>
      <c r="G253" s="8">
        <v>910</v>
      </c>
      <c r="H253" s="56">
        <v>45901</v>
      </c>
      <c r="I253" s="56">
        <v>45930</v>
      </c>
      <c r="J253" s="56">
        <v>45930</v>
      </c>
      <c r="K253" s="57">
        <v>2208402</v>
      </c>
      <c r="L253" s="28"/>
      <c r="M253" s="57">
        <v>2208402</v>
      </c>
      <c r="N253" s="28"/>
      <c r="O253" s="28"/>
      <c r="P253" s="28"/>
    </row>
    <row r="254" spans="1:16" ht="67.5" customHeight="1">
      <c r="A254" s="43" t="s">
        <v>80</v>
      </c>
      <c r="B254" s="53" t="s">
        <v>40</v>
      </c>
      <c r="C254" s="54" t="s">
        <v>81</v>
      </c>
      <c r="D254" s="55">
        <v>1005832976</v>
      </c>
      <c r="E254" s="20" t="s">
        <v>361</v>
      </c>
      <c r="F254" s="43" t="s">
        <v>1459</v>
      </c>
      <c r="G254" s="8">
        <v>911</v>
      </c>
      <c r="H254" s="56">
        <v>45901</v>
      </c>
      <c r="I254" s="56">
        <v>45930</v>
      </c>
      <c r="J254" s="56">
        <v>45930</v>
      </c>
      <c r="K254" s="57">
        <v>2208402</v>
      </c>
      <c r="L254" s="28"/>
      <c r="M254" s="57">
        <v>2208402</v>
      </c>
      <c r="N254" s="28"/>
      <c r="O254" s="28"/>
      <c r="P254" s="28"/>
    </row>
    <row r="255" spans="1:16" ht="67.5" customHeight="1">
      <c r="A255" s="43" t="s">
        <v>82</v>
      </c>
      <c r="B255" s="53" t="s">
        <v>54</v>
      </c>
      <c r="C255" s="54" t="s">
        <v>83</v>
      </c>
      <c r="D255" s="55">
        <v>1113783534</v>
      </c>
      <c r="E255" s="20" t="s">
        <v>1438</v>
      </c>
      <c r="F255" s="43" t="s">
        <v>1460</v>
      </c>
      <c r="G255" s="8">
        <v>912</v>
      </c>
      <c r="H255" s="56">
        <v>45901</v>
      </c>
      <c r="I255" s="56">
        <v>45930</v>
      </c>
      <c r="J255" s="56">
        <v>45930</v>
      </c>
      <c r="K255" s="57">
        <v>2208402</v>
      </c>
      <c r="L255" s="28"/>
      <c r="M255" s="57">
        <v>2208402</v>
      </c>
      <c r="N255" s="28"/>
      <c r="O255" s="28"/>
      <c r="P255" s="28"/>
    </row>
    <row r="256" spans="1:16" ht="67.5" customHeight="1">
      <c r="A256" s="43" t="s">
        <v>84</v>
      </c>
      <c r="B256" s="53" t="s">
        <v>54</v>
      </c>
      <c r="C256" s="54" t="s">
        <v>85</v>
      </c>
      <c r="D256" s="55">
        <v>1113793450</v>
      </c>
      <c r="E256" s="30" t="s">
        <v>361</v>
      </c>
      <c r="F256" s="43" t="s">
        <v>1461</v>
      </c>
      <c r="G256" s="8">
        <v>913</v>
      </c>
      <c r="H256" s="56">
        <v>45901</v>
      </c>
      <c r="I256" s="56">
        <v>45930</v>
      </c>
      <c r="J256" s="56">
        <v>45930</v>
      </c>
      <c r="K256" s="57">
        <v>2208402</v>
      </c>
      <c r="L256" s="28"/>
      <c r="M256" s="57">
        <v>2208402</v>
      </c>
      <c r="N256" s="28"/>
      <c r="O256" s="28"/>
      <c r="P256" s="28"/>
    </row>
    <row r="257" spans="1:16" ht="67.5" customHeight="1">
      <c r="A257" s="43" t="s">
        <v>86</v>
      </c>
      <c r="B257" s="53" t="s">
        <v>54</v>
      </c>
      <c r="C257" s="54" t="s">
        <v>87</v>
      </c>
      <c r="D257" s="55">
        <v>1006290256</v>
      </c>
      <c r="E257" s="20" t="s">
        <v>361</v>
      </c>
      <c r="F257" s="43" t="s">
        <v>1462</v>
      </c>
      <c r="G257" s="8">
        <v>914</v>
      </c>
      <c r="H257" s="56">
        <v>45901</v>
      </c>
      <c r="I257" s="56">
        <v>45930</v>
      </c>
      <c r="J257" s="56">
        <v>45930</v>
      </c>
      <c r="K257" s="57">
        <v>2208402</v>
      </c>
      <c r="L257" s="28"/>
      <c r="M257" s="57">
        <v>2208402</v>
      </c>
      <c r="N257" s="28"/>
      <c r="O257" s="28"/>
      <c r="P257" s="28"/>
    </row>
    <row r="258" spans="1:16" ht="67.5" customHeight="1">
      <c r="A258" s="43" t="s">
        <v>88</v>
      </c>
      <c r="B258" s="53" t="s">
        <v>40</v>
      </c>
      <c r="C258" s="54" t="s">
        <v>89</v>
      </c>
      <c r="D258" s="55">
        <v>1007502136</v>
      </c>
      <c r="E258" s="20" t="s">
        <v>1438</v>
      </c>
      <c r="F258" s="43" t="s">
        <v>1463</v>
      </c>
      <c r="G258" s="8">
        <v>915</v>
      </c>
      <c r="H258" s="56">
        <v>45901</v>
      </c>
      <c r="I258" s="56">
        <v>45930</v>
      </c>
      <c r="J258" s="56">
        <v>45930</v>
      </c>
      <c r="K258" s="57">
        <v>2208402</v>
      </c>
      <c r="L258" s="28"/>
      <c r="M258" s="57">
        <v>2208402</v>
      </c>
      <c r="N258" s="28"/>
      <c r="O258" s="28"/>
      <c r="P258" s="28"/>
    </row>
    <row r="259" spans="1:16" ht="67.5" customHeight="1">
      <c r="A259" s="43" t="s">
        <v>90</v>
      </c>
      <c r="B259" s="53" t="s">
        <v>54</v>
      </c>
      <c r="C259" s="54" t="s">
        <v>91</v>
      </c>
      <c r="D259" s="55">
        <v>66872592</v>
      </c>
      <c r="E259" s="20" t="s">
        <v>361</v>
      </c>
      <c r="F259" s="43" t="s">
        <v>1464</v>
      </c>
      <c r="G259" s="8">
        <v>916</v>
      </c>
      <c r="H259" s="56">
        <v>45901</v>
      </c>
      <c r="I259" s="56">
        <v>45930</v>
      </c>
      <c r="J259" s="56">
        <v>45930</v>
      </c>
      <c r="K259" s="57">
        <v>2208402</v>
      </c>
      <c r="L259" s="28"/>
      <c r="M259" s="57">
        <v>2208402</v>
      </c>
      <c r="N259" s="28"/>
      <c r="O259" s="28"/>
      <c r="P259" s="28"/>
    </row>
    <row r="260" spans="1:16" ht="67.5" customHeight="1">
      <c r="A260" s="43" t="s">
        <v>92</v>
      </c>
      <c r="B260" s="53" t="s">
        <v>93</v>
      </c>
      <c r="C260" s="54" t="s">
        <v>94</v>
      </c>
      <c r="D260" s="55">
        <v>16552183</v>
      </c>
      <c r="E260" s="20" t="s">
        <v>361</v>
      </c>
      <c r="F260" s="43" t="s">
        <v>1465</v>
      </c>
      <c r="G260" s="8">
        <v>917</v>
      </c>
      <c r="H260" s="56">
        <v>45901</v>
      </c>
      <c r="I260" s="56">
        <v>45930</v>
      </c>
      <c r="J260" s="56">
        <v>45930</v>
      </c>
      <c r="K260" s="57">
        <v>2866602</v>
      </c>
      <c r="L260" s="28"/>
      <c r="M260" s="57">
        <v>2866602</v>
      </c>
      <c r="N260" s="28"/>
      <c r="O260" s="28"/>
      <c r="P260" s="28"/>
    </row>
    <row r="261" spans="1:16" ht="67.5" customHeight="1">
      <c r="A261" s="43" t="s">
        <v>95</v>
      </c>
      <c r="B261" s="53" t="s">
        <v>54</v>
      </c>
      <c r="C261" s="54" t="s">
        <v>96</v>
      </c>
      <c r="D261" s="55">
        <v>29774780</v>
      </c>
      <c r="E261" s="20" t="s">
        <v>361</v>
      </c>
      <c r="F261" s="43" t="s">
        <v>1466</v>
      </c>
      <c r="G261" s="8">
        <v>918</v>
      </c>
      <c r="H261" s="56">
        <v>45901</v>
      </c>
      <c r="I261" s="56">
        <v>45930</v>
      </c>
      <c r="J261" s="56">
        <v>45930</v>
      </c>
      <c r="K261" s="57">
        <v>2208402</v>
      </c>
      <c r="L261" s="28"/>
      <c r="M261" s="57">
        <v>2208402</v>
      </c>
      <c r="N261" s="28"/>
      <c r="O261" s="28"/>
      <c r="P261" s="28"/>
    </row>
    <row r="262" spans="1:16" ht="67.5" customHeight="1">
      <c r="A262" s="43" t="s">
        <v>97</v>
      </c>
      <c r="B262" s="53" t="s">
        <v>40</v>
      </c>
      <c r="C262" s="54" t="s">
        <v>98</v>
      </c>
      <c r="D262" s="55">
        <v>16804209</v>
      </c>
      <c r="E262" s="20" t="s">
        <v>1438</v>
      </c>
      <c r="F262" s="43" t="s">
        <v>1467</v>
      </c>
      <c r="G262" s="8">
        <v>919</v>
      </c>
      <c r="H262" s="56">
        <v>45901</v>
      </c>
      <c r="I262" s="56">
        <v>45930</v>
      </c>
      <c r="J262" s="56">
        <v>45930</v>
      </c>
      <c r="K262" s="57">
        <v>2208402</v>
      </c>
      <c r="L262" s="28"/>
      <c r="M262" s="57">
        <v>2208402</v>
      </c>
      <c r="N262" s="28"/>
      <c r="O262" s="28"/>
      <c r="P262" s="28"/>
    </row>
    <row r="263" spans="1:16" ht="67.5" customHeight="1">
      <c r="A263" s="43" t="s">
        <v>99</v>
      </c>
      <c r="B263" s="53" t="s">
        <v>54</v>
      </c>
      <c r="C263" s="54" t="s">
        <v>100</v>
      </c>
      <c r="D263" s="55">
        <v>1112626169</v>
      </c>
      <c r="E263" s="20" t="s">
        <v>361</v>
      </c>
      <c r="F263" s="43" t="s">
        <v>1468</v>
      </c>
      <c r="G263" s="8">
        <v>920</v>
      </c>
      <c r="H263" s="56">
        <v>45901</v>
      </c>
      <c r="I263" s="56">
        <v>45930</v>
      </c>
      <c r="J263" s="56">
        <v>45930</v>
      </c>
      <c r="K263" s="57">
        <v>2208402</v>
      </c>
      <c r="L263" s="28"/>
      <c r="M263" s="57">
        <v>2208402</v>
      </c>
      <c r="N263" s="28"/>
      <c r="O263" s="28"/>
      <c r="P263" s="28"/>
    </row>
    <row r="264" spans="1:16" ht="67.5" customHeight="1">
      <c r="A264" s="43" t="s">
        <v>101</v>
      </c>
      <c r="B264" s="53" t="s">
        <v>59</v>
      </c>
      <c r="C264" s="54" t="s">
        <v>102</v>
      </c>
      <c r="D264" s="55">
        <v>29775720</v>
      </c>
      <c r="E264" s="20" t="s">
        <v>1438</v>
      </c>
      <c r="F264" s="43" t="s">
        <v>1469</v>
      </c>
      <c r="G264" s="8">
        <v>921</v>
      </c>
      <c r="H264" s="56">
        <v>45901</v>
      </c>
      <c r="I264" s="56">
        <v>45930</v>
      </c>
      <c r="J264" s="56">
        <v>45930</v>
      </c>
      <c r="K264" s="57">
        <v>2427803</v>
      </c>
      <c r="L264" s="28"/>
      <c r="M264" s="57">
        <v>2427803</v>
      </c>
      <c r="N264" s="28"/>
      <c r="O264" s="28"/>
      <c r="P264" s="28"/>
    </row>
    <row r="265" spans="1:16" ht="67.5" customHeight="1">
      <c r="A265" s="43" t="s">
        <v>103</v>
      </c>
      <c r="B265" s="53" t="s">
        <v>40</v>
      </c>
      <c r="C265" s="54" t="s">
        <v>104</v>
      </c>
      <c r="D265" s="55">
        <v>1113790485</v>
      </c>
      <c r="E265" s="20" t="s">
        <v>1438</v>
      </c>
      <c r="F265" s="43" t="s">
        <v>1470</v>
      </c>
      <c r="G265" s="8">
        <v>922</v>
      </c>
      <c r="H265" s="56">
        <v>45901</v>
      </c>
      <c r="I265" s="56">
        <v>45930</v>
      </c>
      <c r="J265" s="56">
        <v>45930</v>
      </c>
      <c r="K265" s="57">
        <v>2208402</v>
      </c>
      <c r="L265" s="28"/>
      <c r="M265" s="57">
        <v>2208402</v>
      </c>
      <c r="N265" s="28"/>
      <c r="O265" s="28"/>
      <c r="P265" s="28"/>
    </row>
    <row r="266" spans="1:16" ht="67.5" customHeight="1">
      <c r="A266" s="43" t="s">
        <v>4</v>
      </c>
      <c r="B266" s="53" t="s">
        <v>5</v>
      </c>
      <c r="C266" s="54" t="s">
        <v>6</v>
      </c>
      <c r="D266" s="55">
        <v>16548768</v>
      </c>
      <c r="E266" s="20" t="s">
        <v>361</v>
      </c>
      <c r="F266" s="43" t="s">
        <v>1471</v>
      </c>
      <c r="G266" s="8">
        <v>923</v>
      </c>
      <c r="H266" s="56">
        <v>45901</v>
      </c>
      <c r="I266" s="56">
        <v>45930</v>
      </c>
      <c r="J266" s="56">
        <v>45930</v>
      </c>
      <c r="K266" s="57">
        <v>2098702</v>
      </c>
      <c r="L266" s="28"/>
      <c r="M266" s="57">
        <v>2098702</v>
      </c>
      <c r="N266" s="28"/>
      <c r="O266" s="28"/>
      <c r="P266" s="28"/>
    </row>
    <row r="267" spans="1:16" ht="67.5" customHeight="1">
      <c r="A267" s="43" t="s">
        <v>105</v>
      </c>
      <c r="B267" s="53" t="s">
        <v>5</v>
      </c>
      <c r="C267" s="54" t="s">
        <v>106</v>
      </c>
      <c r="D267" s="55">
        <v>66873274</v>
      </c>
      <c r="E267" s="20" t="s">
        <v>361</v>
      </c>
      <c r="F267" s="43" t="s">
        <v>1472</v>
      </c>
      <c r="G267" s="8">
        <v>924</v>
      </c>
      <c r="H267" s="56">
        <v>45901</v>
      </c>
      <c r="I267" s="56">
        <v>45930</v>
      </c>
      <c r="J267" s="56">
        <v>45930</v>
      </c>
      <c r="K267" s="57">
        <v>2098702</v>
      </c>
      <c r="L267" s="28"/>
      <c r="M267" s="57">
        <v>2098702</v>
      </c>
      <c r="N267" s="28"/>
      <c r="O267" s="28"/>
      <c r="P267" s="28"/>
    </row>
    <row r="268" spans="1:16" ht="67.5" customHeight="1">
      <c r="A268" s="43" t="s">
        <v>107</v>
      </c>
      <c r="B268" s="53" t="s">
        <v>5</v>
      </c>
      <c r="C268" s="54" t="s">
        <v>108</v>
      </c>
      <c r="D268" s="55">
        <v>79371183</v>
      </c>
      <c r="E268" s="20" t="s">
        <v>361</v>
      </c>
      <c r="F268" s="43" t="s">
        <v>1473</v>
      </c>
      <c r="G268" s="8">
        <v>925</v>
      </c>
      <c r="H268" s="56">
        <v>45901</v>
      </c>
      <c r="I268" s="56">
        <v>45930</v>
      </c>
      <c r="J268" s="56">
        <v>45930</v>
      </c>
      <c r="K268" s="57">
        <v>2098702</v>
      </c>
      <c r="L268" s="28"/>
      <c r="M268" s="57">
        <v>2098702</v>
      </c>
      <c r="N268" s="28"/>
      <c r="O268" s="28"/>
      <c r="P268" s="28"/>
    </row>
    <row r="269" spans="1:16" ht="67.5" customHeight="1">
      <c r="A269" s="43" t="s">
        <v>109</v>
      </c>
      <c r="B269" s="53" t="s">
        <v>5</v>
      </c>
      <c r="C269" s="54" t="s">
        <v>110</v>
      </c>
      <c r="D269" s="55">
        <v>16552781</v>
      </c>
      <c r="E269" s="20" t="s">
        <v>361</v>
      </c>
      <c r="F269" s="43" t="s">
        <v>1474</v>
      </c>
      <c r="G269" s="8">
        <v>926</v>
      </c>
      <c r="H269" s="56">
        <v>45901</v>
      </c>
      <c r="I269" s="56">
        <v>45930</v>
      </c>
      <c r="J269" s="56">
        <v>45930</v>
      </c>
      <c r="K269" s="57">
        <v>2098702</v>
      </c>
      <c r="L269" s="28"/>
      <c r="M269" s="57">
        <v>2098702</v>
      </c>
      <c r="N269" s="28"/>
      <c r="O269" s="28"/>
      <c r="P269" s="28"/>
    </row>
    <row r="270" spans="1:16" ht="67.5" customHeight="1">
      <c r="A270" s="43" t="s">
        <v>111</v>
      </c>
      <c r="B270" s="53" t="s">
        <v>54</v>
      </c>
      <c r="C270" s="54" t="s">
        <v>112</v>
      </c>
      <c r="D270" s="55">
        <v>66684176</v>
      </c>
      <c r="E270" s="20" t="s">
        <v>361</v>
      </c>
      <c r="F270" s="43" t="s">
        <v>1475</v>
      </c>
      <c r="G270" s="8">
        <v>927</v>
      </c>
      <c r="H270" s="56">
        <v>45901</v>
      </c>
      <c r="I270" s="56">
        <v>45930</v>
      </c>
      <c r="J270" s="56">
        <v>45930</v>
      </c>
      <c r="K270" s="57">
        <v>2866602</v>
      </c>
      <c r="L270" s="28"/>
      <c r="M270" s="57">
        <v>2866602</v>
      </c>
      <c r="N270" s="28"/>
      <c r="O270" s="28"/>
      <c r="P270" s="28"/>
    </row>
    <row r="271" spans="1:16" ht="67.5" customHeight="1">
      <c r="A271" s="43" t="s">
        <v>113</v>
      </c>
      <c r="B271" s="53" t="s">
        <v>72</v>
      </c>
      <c r="C271" s="54" t="s">
        <v>114</v>
      </c>
      <c r="D271" s="55">
        <v>16551908</v>
      </c>
      <c r="E271" s="20" t="s">
        <v>1438</v>
      </c>
      <c r="F271" s="43" t="s">
        <v>1476</v>
      </c>
      <c r="G271" s="8">
        <v>928</v>
      </c>
      <c r="H271" s="56">
        <v>45901</v>
      </c>
      <c r="I271" s="56">
        <v>45930</v>
      </c>
      <c r="J271" s="56">
        <v>45930</v>
      </c>
      <c r="K271" s="57">
        <v>2208402</v>
      </c>
      <c r="L271" s="28"/>
      <c r="M271" s="57">
        <v>2208402</v>
      </c>
      <c r="N271" s="28"/>
      <c r="O271" s="28"/>
      <c r="P271" s="28"/>
    </row>
    <row r="272" spans="1:16" ht="67.5" customHeight="1">
      <c r="A272" s="43" t="s">
        <v>115</v>
      </c>
      <c r="B272" s="53" t="s">
        <v>72</v>
      </c>
      <c r="C272" s="54" t="s">
        <v>116</v>
      </c>
      <c r="D272" s="55">
        <v>66871398</v>
      </c>
      <c r="E272" s="20" t="s">
        <v>1438</v>
      </c>
      <c r="F272" s="43" t="s">
        <v>1477</v>
      </c>
      <c r="G272" s="8">
        <v>929</v>
      </c>
      <c r="H272" s="56">
        <v>45901</v>
      </c>
      <c r="I272" s="56">
        <v>45930</v>
      </c>
      <c r="J272" s="56">
        <v>45930</v>
      </c>
      <c r="K272" s="57">
        <v>2208402</v>
      </c>
      <c r="L272" s="28"/>
      <c r="M272" s="57">
        <v>2208402</v>
      </c>
      <c r="N272" s="28"/>
      <c r="O272" s="28"/>
      <c r="P272" s="28"/>
    </row>
    <row r="273" spans="1:16" ht="67.5" customHeight="1">
      <c r="A273" s="43" t="s">
        <v>117</v>
      </c>
      <c r="B273" s="53" t="s">
        <v>72</v>
      </c>
      <c r="C273" s="54" t="s">
        <v>118</v>
      </c>
      <c r="D273" s="55">
        <v>1007330601</v>
      </c>
      <c r="E273" s="20" t="s">
        <v>1438</v>
      </c>
      <c r="F273" s="43" t="s">
        <v>1478</v>
      </c>
      <c r="G273" s="8">
        <v>930</v>
      </c>
      <c r="H273" s="56">
        <v>45901</v>
      </c>
      <c r="I273" s="56">
        <v>45930</v>
      </c>
      <c r="J273" s="56">
        <v>45930</v>
      </c>
      <c r="K273" s="57">
        <v>2208402</v>
      </c>
      <c r="L273" s="28"/>
      <c r="M273" s="57">
        <v>2208402</v>
      </c>
      <c r="N273" s="28"/>
      <c r="O273" s="28"/>
      <c r="P273" s="28"/>
    </row>
    <row r="274" spans="1:16" ht="67.5" customHeight="1">
      <c r="A274" s="43" t="s">
        <v>119</v>
      </c>
      <c r="B274" s="53" t="s">
        <v>51</v>
      </c>
      <c r="C274" s="54" t="s">
        <v>120</v>
      </c>
      <c r="D274" s="55">
        <v>66701137</v>
      </c>
      <c r="E274" s="30" t="s">
        <v>361</v>
      </c>
      <c r="F274" s="43" t="s">
        <v>1479</v>
      </c>
      <c r="G274" s="8">
        <v>931</v>
      </c>
      <c r="H274" s="56">
        <v>45901</v>
      </c>
      <c r="I274" s="56">
        <v>45930</v>
      </c>
      <c r="J274" s="56">
        <v>45930</v>
      </c>
      <c r="K274" s="57">
        <v>2427802</v>
      </c>
      <c r="L274" s="28"/>
      <c r="M274" s="57">
        <v>2427802</v>
      </c>
      <c r="N274" s="28"/>
      <c r="O274" s="28"/>
      <c r="P274" s="28"/>
    </row>
    <row r="275" spans="1:16" ht="67.5" customHeight="1">
      <c r="A275" s="43" t="s">
        <v>121</v>
      </c>
      <c r="B275" s="53" t="s">
        <v>51</v>
      </c>
      <c r="C275" s="54" t="s">
        <v>122</v>
      </c>
      <c r="D275" s="55">
        <v>16553538</v>
      </c>
      <c r="E275" s="20" t="s">
        <v>361</v>
      </c>
      <c r="F275" s="43" t="s">
        <v>1480</v>
      </c>
      <c r="G275" s="8">
        <v>932</v>
      </c>
      <c r="H275" s="56">
        <v>45901</v>
      </c>
      <c r="I275" s="56">
        <v>45930</v>
      </c>
      <c r="J275" s="56">
        <v>45930</v>
      </c>
      <c r="K275" s="57">
        <v>2427802</v>
      </c>
      <c r="L275" s="28"/>
      <c r="M275" s="57">
        <v>2427802</v>
      </c>
      <c r="N275" s="28"/>
      <c r="O275" s="28"/>
      <c r="P275" s="28"/>
    </row>
    <row r="276" spans="1:16" ht="67.5" customHeight="1">
      <c r="A276" s="43" t="s">
        <v>123</v>
      </c>
      <c r="B276" s="53" t="s">
        <v>51</v>
      </c>
      <c r="C276" s="54" t="s">
        <v>124</v>
      </c>
      <c r="D276" s="55">
        <v>29899018</v>
      </c>
      <c r="E276" s="20" t="s">
        <v>361</v>
      </c>
      <c r="F276" s="43" t="s">
        <v>1481</v>
      </c>
      <c r="G276" s="8">
        <v>933</v>
      </c>
      <c r="H276" s="56">
        <v>45901</v>
      </c>
      <c r="I276" s="56">
        <v>45930</v>
      </c>
      <c r="J276" s="56">
        <v>45930</v>
      </c>
      <c r="K276" s="57">
        <v>2427802</v>
      </c>
      <c r="L276" s="28"/>
      <c r="M276" s="57">
        <v>2427802</v>
      </c>
      <c r="N276" s="28"/>
      <c r="O276" s="28"/>
      <c r="P276" s="28"/>
    </row>
    <row r="277" spans="1:16" ht="67.5" customHeight="1">
      <c r="A277" s="43" t="s">
        <v>125</v>
      </c>
      <c r="B277" s="53" t="s">
        <v>126</v>
      </c>
      <c r="C277" s="54" t="s">
        <v>127</v>
      </c>
      <c r="D277" s="55">
        <v>16552356</v>
      </c>
      <c r="E277" s="20" t="s">
        <v>361</v>
      </c>
      <c r="F277" s="43" t="s">
        <v>1482</v>
      </c>
      <c r="G277" s="8">
        <v>934</v>
      </c>
      <c r="H277" s="56">
        <v>45901</v>
      </c>
      <c r="I277" s="56">
        <v>45930</v>
      </c>
      <c r="J277" s="56">
        <v>45930</v>
      </c>
      <c r="K277" s="57">
        <v>2427802</v>
      </c>
      <c r="L277" s="28"/>
      <c r="M277" s="57">
        <v>2427802</v>
      </c>
      <c r="N277" s="28"/>
      <c r="O277" s="28"/>
      <c r="P277" s="28"/>
    </row>
    <row r="278" spans="1:16" ht="67.5" customHeight="1">
      <c r="A278" s="43" t="s">
        <v>128</v>
      </c>
      <c r="B278" s="53" t="s">
        <v>54</v>
      </c>
      <c r="C278" s="54" t="s">
        <v>129</v>
      </c>
      <c r="D278" s="55">
        <v>1113779100</v>
      </c>
      <c r="E278" s="20" t="s">
        <v>361</v>
      </c>
      <c r="F278" s="43" t="s">
        <v>1483</v>
      </c>
      <c r="G278" s="8">
        <v>935</v>
      </c>
      <c r="H278" s="56">
        <v>45901</v>
      </c>
      <c r="I278" s="56">
        <v>45930</v>
      </c>
      <c r="J278" s="56">
        <v>45930</v>
      </c>
      <c r="K278" s="57">
        <v>2208402</v>
      </c>
      <c r="L278" s="28"/>
      <c r="M278" s="57">
        <v>2208402</v>
      </c>
      <c r="N278" s="28"/>
      <c r="O278" s="28"/>
      <c r="P278" s="28"/>
    </row>
    <row r="279" spans="1:16" ht="67.5" customHeight="1">
      <c r="A279" s="43" t="s">
        <v>130</v>
      </c>
      <c r="B279" s="53" t="s">
        <v>51</v>
      </c>
      <c r="C279" s="54" t="s">
        <v>131</v>
      </c>
      <c r="D279" s="55">
        <v>66872316</v>
      </c>
      <c r="E279" s="20" t="s">
        <v>361</v>
      </c>
      <c r="F279" s="43" t="s">
        <v>1484</v>
      </c>
      <c r="G279" s="8">
        <v>936</v>
      </c>
      <c r="H279" s="56">
        <v>45901</v>
      </c>
      <c r="I279" s="56">
        <v>45930</v>
      </c>
      <c r="J279" s="56">
        <v>45930</v>
      </c>
      <c r="K279" s="57">
        <v>2427802</v>
      </c>
      <c r="L279" s="28"/>
      <c r="M279" s="57">
        <v>2427802</v>
      </c>
      <c r="N279" s="28"/>
      <c r="O279" s="28"/>
      <c r="P279" s="28"/>
    </row>
    <row r="280" spans="1:16" ht="67.5" customHeight="1">
      <c r="A280" s="43" t="s">
        <v>132</v>
      </c>
      <c r="B280" s="53" t="s">
        <v>40</v>
      </c>
      <c r="C280" s="54" t="s">
        <v>133</v>
      </c>
      <c r="D280" s="55">
        <v>1113778853</v>
      </c>
      <c r="E280" s="20" t="s">
        <v>1438</v>
      </c>
      <c r="F280" s="43" t="s">
        <v>1485</v>
      </c>
      <c r="G280" s="8">
        <v>937</v>
      </c>
      <c r="H280" s="56">
        <v>45901</v>
      </c>
      <c r="I280" s="56">
        <v>45930</v>
      </c>
      <c r="J280" s="56">
        <v>45930</v>
      </c>
      <c r="K280" s="57">
        <v>2208402</v>
      </c>
      <c r="L280" s="28"/>
      <c r="M280" s="57">
        <v>2208402</v>
      </c>
      <c r="N280" s="28"/>
      <c r="O280" s="28"/>
      <c r="P280" s="28"/>
    </row>
    <row r="281" spans="1:16" ht="67.5" customHeight="1">
      <c r="A281" s="43" t="s">
        <v>134</v>
      </c>
      <c r="B281" s="53" t="s">
        <v>126</v>
      </c>
      <c r="C281" s="54" t="s">
        <v>135</v>
      </c>
      <c r="D281" s="55">
        <v>94232689</v>
      </c>
      <c r="E281" s="30" t="s">
        <v>361</v>
      </c>
      <c r="F281" s="43" t="s">
        <v>1486</v>
      </c>
      <c r="G281" s="8">
        <v>938</v>
      </c>
      <c r="H281" s="56">
        <v>45901</v>
      </c>
      <c r="I281" s="56">
        <v>45930</v>
      </c>
      <c r="J281" s="56">
        <v>45930</v>
      </c>
      <c r="K281" s="57">
        <v>2427802</v>
      </c>
      <c r="L281" s="28"/>
      <c r="M281" s="57">
        <v>2427802</v>
      </c>
      <c r="N281" s="28"/>
      <c r="O281" s="28"/>
      <c r="P281" s="28"/>
    </row>
    <row r="282" spans="1:16" ht="67.5" customHeight="1">
      <c r="A282" s="43" t="s">
        <v>136</v>
      </c>
      <c r="B282" s="53" t="s">
        <v>137</v>
      </c>
      <c r="C282" s="54" t="s">
        <v>138</v>
      </c>
      <c r="D282" s="55">
        <v>1113793582</v>
      </c>
      <c r="E282" s="30" t="s">
        <v>361</v>
      </c>
      <c r="F282" s="43" t="s">
        <v>1487</v>
      </c>
      <c r="G282" s="8">
        <v>939</v>
      </c>
      <c r="H282" s="56">
        <v>45901</v>
      </c>
      <c r="I282" s="56">
        <v>45930</v>
      </c>
      <c r="J282" s="56">
        <v>45930</v>
      </c>
      <c r="K282" s="57">
        <v>2427802</v>
      </c>
      <c r="L282" s="28"/>
      <c r="M282" s="57">
        <v>2427802</v>
      </c>
      <c r="N282" s="28"/>
      <c r="O282" s="28"/>
      <c r="P282" s="28"/>
    </row>
    <row r="283" spans="1:16" ht="67.5" customHeight="1">
      <c r="A283" s="43" t="s">
        <v>139</v>
      </c>
      <c r="B283" s="53" t="s">
        <v>40</v>
      </c>
      <c r="C283" s="54" t="s">
        <v>140</v>
      </c>
      <c r="D283" s="55">
        <v>1006290193</v>
      </c>
      <c r="E283" s="30" t="s">
        <v>1438</v>
      </c>
      <c r="F283" s="43" t="s">
        <v>1488</v>
      </c>
      <c r="G283" s="8">
        <v>940</v>
      </c>
      <c r="H283" s="56">
        <v>45901</v>
      </c>
      <c r="I283" s="56">
        <v>45930</v>
      </c>
      <c r="J283" s="56">
        <v>45930</v>
      </c>
      <c r="K283" s="57">
        <v>2208402</v>
      </c>
      <c r="L283" s="28"/>
      <c r="M283" s="57">
        <v>2208402</v>
      </c>
      <c r="N283" s="28"/>
      <c r="O283" s="28"/>
      <c r="P283" s="28"/>
    </row>
    <row r="284" spans="1:16" ht="67.5" customHeight="1">
      <c r="A284" s="43" t="s">
        <v>141</v>
      </c>
      <c r="B284" s="53" t="s">
        <v>40</v>
      </c>
      <c r="C284" s="54" t="s">
        <v>142</v>
      </c>
      <c r="D284" s="55">
        <v>1006289833</v>
      </c>
      <c r="E284" s="20" t="s">
        <v>1438</v>
      </c>
      <c r="F284" s="43" t="s">
        <v>1489</v>
      </c>
      <c r="G284" s="8">
        <v>941</v>
      </c>
      <c r="H284" s="56">
        <v>45901</v>
      </c>
      <c r="I284" s="56">
        <v>45930</v>
      </c>
      <c r="J284" s="56">
        <v>45930</v>
      </c>
      <c r="K284" s="57">
        <v>2208402</v>
      </c>
      <c r="L284" s="28"/>
      <c r="M284" s="57">
        <v>2208402</v>
      </c>
      <c r="N284" s="28"/>
      <c r="O284" s="28"/>
      <c r="P284" s="28"/>
    </row>
    <row r="285" spans="1:16" ht="67.5" customHeight="1">
      <c r="A285" s="43" t="s">
        <v>143</v>
      </c>
      <c r="B285" s="53" t="s">
        <v>8</v>
      </c>
      <c r="C285" s="54" t="s">
        <v>144</v>
      </c>
      <c r="D285" s="55">
        <v>66870312</v>
      </c>
      <c r="E285" s="20" t="s">
        <v>361</v>
      </c>
      <c r="F285" s="43" t="s">
        <v>1490</v>
      </c>
      <c r="G285" s="8">
        <v>942</v>
      </c>
      <c r="H285" s="56">
        <v>45901</v>
      </c>
      <c r="I285" s="56">
        <v>45930</v>
      </c>
      <c r="J285" s="56">
        <v>45930</v>
      </c>
      <c r="K285" s="57">
        <v>2098702</v>
      </c>
      <c r="L285" s="28"/>
      <c r="M285" s="57">
        <v>2098702</v>
      </c>
      <c r="N285" s="28"/>
      <c r="O285" s="28"/>
      <c r="P285" s="28"/>
    </row>
    <row r="286" spans="1:16" ht="67.5" customHeight="1">
      <c r="A286" s="43" t="s">
        <v>145</v>
      </c>
      <c r="B286" s="53" t="s">
        <v>8</v>
      </c>
      <c r="C286" s="54" t="s">
        <v>146</v>
      </c>
      <c r="D286" s="55">
        <v>29775834</v>
      </c>
      <c r="E286" s="20" t="s">
        <v>361</v>
      </c>
      <c r="F286" s="43" t="s">
        <v>1491</v>
      </c>
      <c r="G286" s="8">
        <v>943</v>
      </c>
      <c r="H286" s="56">
        <v>45901</v>
      </c>
      <c r="I286" s="56">
        <v>45930</v>
      </c>
      <c r="J286" s="56">
        <v>45930</v>
      </c>
      <c r="K286" s="57">
        <v>2098702</v>
      </c>
      <c r="L286" s="28"/>
      <c r="M286" s="57">
        <v>2098702</v>
      </c>
      <c r="N286" s="28"/>
      <c r="O286" s="28"/>
      <c r="P286" s="28"/>
    </row>
    <row r="287" spans="1:16" ht="67.5" customHeight="1">
      <c r="A287" s="43" t="s">
        <v>147</v>
      </c>
      <c r="B287" s="53" t="s">
        <v>8</v>
      </c>
      <c r="C287" s="54" t="s">
        <v>148</v>
      </c>
      <c r="D287" s="55">
        <v>66873453</v>
      </c>
      <c r="E287" s="30" t="s">
        <v>361</v>
      </c>
      <c r="F287" s="43" t="s">
        <v>1492</v>
      </c>
      <c r="G287" s="8">
        <v>944</v>
      </c>
      <c r="H287" s="56">
        <v>45901</v>
      </c>
      <c r="I287" s="56">
        <v>45930</v>
      </c>
      <c r="J287" s="56">
        <v>45930</v>
      </c>
      <c r="K287" s="57">
        <v>2098702</v>
      </c>
      <c r="L287" s="28"/>
      <c r="M287" s="57">
        <v>2098702</v>
      </c>
      <c r="N287" s="28"/>
      <c r="O287" s="28"/>
      <c r="P287" s="28"/>
    </row>
    <row r="288" spans="1:16" ht="67.5" customHeight="1">
      <c r="A288" s="43" t="s">
        <v>149</v>
      </c>
      <c r="B288" s="53" t="s">
        <v>8</v>
      </c>
      <c r="C288" s="54" t="s">
        <v>150</v>
      </c>
      <c r="D288" s="55">
        <v>29774920</v>
      </c>
      <c r="E288" s="30" t="s">
        <v>361</v>
      </c>
      <c r="F288" s="43" t="s">
        <v>1493</v>
      </c>
      <c r="G288" s="8">
        <v>945</v>
      </c>
      <c r="H288" s="56">
        <v>45901</v>
      </c>
      <c r="I288" s="56">
        <v>45930</v>
      </c>
      <c r="J288" s="56">
        <v>45930</v>
      </c>
      <c r="K288" s="57">
        <v>2098702</v>
      </c>
      <c r="L288" s="28"/>
      <c r="M288" s="57">
        <v>2098702</v>
      </c>
      <c r="N288" s="28"/>
      <c r="O288" s="28"/>
      <c r="P288" s="28"/>
    </row>
    <row r="289" spans="1:16" ht="67.5" customHeight="1">
      <c r="A289" s="43" t="s">
        <v>151</v>
      </c>
      <c r="B289" s="53" t="s">
        <v>152</v>
      </c>
      <c r="C289" s="53" t="s">
        <v>153</v>
      </c>
      <c r="D289" s="54">
        <v>1113779682</v>
      </c>
      <c r="E289" s="30" t="s">
        <v>361</v>
      </c>
      <c r="F289" s="43" t="s">
        <v>1494</v>
      </c>
      <c r="G289" s="8">
        <v>946</v>
      </c>
      <c r="H289" s="56">
        <v>45901</v>
      </c>
      <c r="I289" s="56">
        <v>45930</v>
      </c>
      <c r="J289" s="56">
        <v>45930</v>
      </c>
      <c r="K289" s="57">
        <v>2098702</v>
      </c>
      <c r="L289" s="28"/>
      <c r="M289" s="57">
        <v>2098702</v>
      </c>
      <c r="N289" s="28"/>
      <c r="O289" s="28"/>
      <c r="P289" s="28"/>
    </row>
    <row r="290" spans="1:16" ht="67.5" customHeight="1">
      <c r="A290" s="43" t="s">
        <v>154</v>
      </c>
      <c r="B290" s="53" t="s">
        <v>51</v>
      </c>
      <c r="C290" s="54" t="s">
        <v>155</v>
      </c>
      <c r="D290" s="55">
        <v>14735221</v>
      </c>
      <c r="E290" s="20" t="s">
        <v>361</v>
      </c>
      <c r="F290" s="43" t="s">
        <v>1495</v>
      </c>
      <c r="G290" s="8">
        <v>947</v>
      </c>
      <c r="H290" s="56">
        <v>45901</v>
      </c>
      <c r="I290" s="56">
        <v>45930</v>
      </c>
      <c r="J290" s="56">
        <v>45930</v>
      </c>
      <c r="K290" s="57">
        <v>2427802</v>
      </c>
      <c r="L290" s="28"/>
      <c r="M290" s="57">
        <v>2427802</v>
      </c>
      <c r="N290" s="28"/>
      <c r="O290" s="28"/>
      <c r="P290" s="28"/>
    </row>
    <row r="291" spans="1:16" ht="67.5" customHeight="1">
      <c r="A291" s="43" t="s">
        <v>156</v>
      </c>
      <c r="B291" s="53" t="s">
        <v>8</v>
      </c>
      <c r="C291" s="54" t="s">
        <v>157</v>
      </c>
      <c r="D291" s="55">
        <v>66870554</v>
      </c>
      <c r="E291" s="30" t="s">
        <v>361</v>
      </c>
      <c r="F291" s="43" t="s">
        <v>1496</v>
      </c>
      <c r="G291" s="8">
        <v>948</v>
      </c>
      <c r="H291" s="56">
        <v>45901</v>
      </c>
      <c r="I291" s="56">
        <v>45930</v>
      </c>
      <c r="J291" s="56">
        <v>45930</v>
      </c>
      <c r="K291" s="57">
        <v>2098702</v>
      </c>
      <c r="L291" s="28"/>
      <c r="M291" s="57">
        <v>2098702</v>
      </c>
      <c r="N291" s="28"/>
      <c r="O291" s="28"/>
      <c r="P291" s="28"/>
    </row>
    <row r="292" spans="1:16" ht="67.5" customHeight="1">
      <c r="A292" s="43" t="s">
        <v>7</v>
      </c>
      <c r="B292" s="53" t="s">
        <v>8</v>
      </c>
      <c r="C292" s="54" t="s">
        <v>9</v>
      </c>
      <c r="D292" s="55">
        <v>1113779696</v>
      </c>
      <c r="E292" s="30" t="s">
        <v>361</v>
      </c>
      <c r="F292" s="43" t="s">
        <v>1497</v>
      </c>
      <c r="G292" s="8">
        <v>949</v>
      </c>
      <c r="H292" s="56">
        <v>45901</v>
      </c>
      <c r="I292" s="56">
        <v>45930</v>
      </c>
      <c r="J292" s="56">
        <v>45930</v>
      </c>
      <c r="K292" s="57">
        <v>2098702</v>
      </c>
      <c r="L292" s="28"/>
      <c r="M292" s="57">
        <v>2098702</v>
      </c>
      <c r="N292" s="28"/>
      <c r="O292" s="28"/>
      <c r="P292" s="28"/>
    </row>
    <row r="293" spans="1:16" ht="67.5" customHeight="1">
      <c r="A293" s="43" t="s">
        <v>158</v>
      </c>
      <c r="B293" s="53" t="s">
        <v>8</v>
      </c>
      <c r="C293" s="54" t="s">
        <v>159</v>
      </c>
      <c r="D293" s="55">
        <v>1113788581</v>
      </c>
      <c r="E293" s="20" t="s">
        <v>361</v>
      </c>
      <c r="F293" s="43" t="s">
        <v>1498</v>
      </c>
      <c r="G293" s="8">
        <v>950</v>
      </c>
      <c r="H293" s="56">
        <v>45901</v>
      </c>
      <c r="I293" s="56">
        <v>45930</v>
      </c>
      <c r="J293" s="56">
        <v>45930</v>
      </c>
      <c r="K293" s="57">
        <v>2098702</v>
      </c>
      <c r="L293" s="28"/>
      <c r="M293" s="57">
        <v>2098702</v>
      </c>
      <c r="N293" s="28"/>
      <c r="O293" s="28"/>
      <c r="P293" s="28"/>
    </row>
    <row r="294" spans="1:16" ht="67.5" customHeight="1">
      <c r="A294" s="43" t="s">
        <v>10</v>
      </c>
      <c r="B294" s="53" t="s">
        <v>11</v>
      </c>
      <c r="C294" s="54" t="s">
        <v>12</v>
      </c>
      <c r="D294" s="55">
        <v>1113784541</v>
      </c>
      <c r="E294" s="43" t="s">
        <v>1499</v>
      </c>
      <c r="F294" s="43" t="s">
        <v>1500</v>
      </c>
      <c r="G294" s="8">
        <v>951</v>
      </c>
      <c r="H294" s="56">
        <v>45901</v>
      </c>
      <c r="I294" s="56">
        <v>45930</v>
      </c>
      <c r="J294" s="56">
        <v>45930</v>
      </c>
      <c r="K294" s="57">
        <v>2063456</v>
      </c>
      <c r="L294" s="28"/>
      <c r="M294" s="57">
        <v>2063456</v>
      </c>
      <c r="N294" s="28"/>
      <c r="O294" s="28"/>
      <c r="P294" s="28"/>
    </row>
    <row r="295" spans="1:16" ht="67.5" customHeight="1">
      <c r="A295" s="43" t="s">
        <v>160</v>
      </c>
      <c r="B295" s="53" t="s">
        <v>161</v>
      </c>
      <c r="C295" s="54" t="s">
        <v>162</v>
      </c>
      <c r="D295" s="55">
        <v>1113793732</v>
      </c>
      <c r="E295" s="30" t="s">
        <v>1438</v>
      </c>
      <c r="F295" s="43" t="s">
        <v>1501</v>
      </c>
      <c r="G295" s="8">
        <v>952</v>
      </c>
      <c r="H295" s="56">
        <v>45901</v>
      </c>
      <c r="I295" s="56">
        <v>45930</v>
      </c>
      <c r="J295" s="56">
        <v>45930</v>
      </c>
      <c r="K295" s="57">
        <v>2427802</v>
      </c>
      <c r="L295" s="28"/>
      <c r="M295" s="57">
        <v>2427802</v>
      </c>
      <c r="N295" s="28"/>
      <c r="O295" s="28"/>
      <c r="P295" s="28"/>
    </row>
    <row r="296" spans="1:16" ht="67.5" customHeight="1">
      <c r="A296" s="43" t="s">
        <v>13</v>
      </c>
      <c r="B296" s="53" t="s">
        <v>14</v>
      </c>
      <c r="C296" s="54" t="s">
        <v>15</v>
      </c>
      <c r="D296" s="55">
        <v>29775079</v>
      </c>
      <c r="E296" s="43" t="s">
        <v>1499</v>
      </c>
      <c r="F296" s="43" t="s">
        <v>1502</v>
      </c>
      <c r="G296" s="8">
        <v>953</v>
      </c>
      <c r="H296" s="56">
        <v>45901</v>
      </c>
      <c r="I296" s="56">
        <v>45930</v>
      </c>
      <c r="J296" s="56">
        <v>45930</v>
      </c>
      <c r="K296" s="57">
        <v>2063456</v>
      </c>
      <c r="L296" s="28"/>
      <c r="M296" s="57">
        <v>2063456</v>
      </c>
      <c r="N296" s="28"/>
      <c r="O296" s="28"/>
      <c r="P296" s="28"/>
    </row>
    <row r="297" spans="1:16" ht="67.5" customHeight="1">
      <c r="A297" s="43" t="s">
        <v>16</v>
      </c>
      <c r="B297" s="53" t="s">
        <v>14</v>
      </c>
      <c r="C297" s="54" t="s">
        <v>17</v>
      </c>
      <c r="D297" s="55">
        <v>29775139</v>
      </c>
      <c r="E297" s="43" t="s">
        <v>1499</v>
      </c>
      <c r="F297" s="43" t="s">
        <v>1503</v>
      </c>
      <c r="G297" s="8">
        <v>954</v>
      </c>
      <c r="H297" s="56">
        <v>45901</v>
      </c>
      <c r="I297" s="56">
        <v>45930</v>
      </c>
      <c r="J297" s="56">
        <v>45930</v>
      </c>
      <c r="K297" s="57">
        <v>2063456</v>
      </c>
      <c r="L297" s="28"/>
      <c r="M297" s="57">
        <v>2063456</v>
      </c>
      <c r="N297" s="28"/>
      <c r="O297" s="28"/>
      <c r="P297" s="28"/>
    </row>
    <row r="298" spans="1:16" ht="67.5" customHeight="1">
      <c r="A298" s="43" t="s">
        <v>18</v>
      </c>
      <c r="B298" s="53" t="s">
        <v>14</v>
      </c>
      <c r="C298" s="54" t="s">
        <v>19</v>
      </c>
      <c r="D298" s="55">
        <v>1113782759</v>
      </c>
      <c r="E298" s="43" t="s">
        <v>1499</v>
      </c>
      <c r="F298" s="43" t="s">
        <v>1504</v>
      </c>
      <c r="G298" s="8">
        <v>955</v>
      </c>
      <c r="H298" s="56">
        <v>45901</v>
      </c>
      <c r="I298" s="56">
        <v>45930</v>
      </c>
      <c r="J298" s="56">
        <v>45930</v>
      </c>
      <c r="K298" s="57">
        <v>2063456</v>
      </c>
      <c r="L298" s="28"/>
      <c r="M298" s="57">
        <v>2063456</v>
      </c>
      <c r="N298" s="28"/>
      <c r="O298" s="28"/>
      <c r="P298" s="28"/>
    </row>
    <row r="299" spans="1:16" ht="67.5" customHeight="1">
      <c r="A299" s="43" t="s">
        <v>163</v>
      </c>
      <c r="B299" s="53" t="s">
        <v>40</v>
      </c>
      <c r="C299" s="54" t="s">
        <v>164</v>
      </c>
      <c r="D299" s="55">
        <v>1113792125</v>
      </c>
      <c r="E299" s="20" t="s">
        <v>1438</v>
      </c>
      <c r="F299" s="43" t="s">
        <v>1505</v>
      </c>
      <c r="G299" s="8">
        <v>956</v>
      </c>
      <c r="H299" s="56">
        <v>45901</v>
      </c>
      <c r="I299" s="56">
        <v>45930</v>
      </c>
      <c r="J299" s="56">
        <v>45930</v>
      </c>
      <c r="K299" s="57">
        <v>2208402</v>
      </c>
      <c r="L299" s="28"/>
      <c r="M299" s="57">
        <v>2208402</v>
      </c>
      <c r="N299" s="28"/>
      <c r="O299" s="28"/>
      <c r="P299" s="28"/>
    </row>
    <row r="300" spans="1:16" ht="67.5" customHeight="1">
      <c r="A300" s="43" t="s">
        <v>20</v>
      </c>
      <c r="B300" s="53" t="s">
        <v>14</v>
      </c>
      <c r="C300" s="54" t="s">
        <v>21</v>
      </c>
      <c r="D300" s="55">
        <v>1112624336</v>
      </c>
      <c r="E300" s="43" t="s">
        <v>1499</v>
      </c>
      <c r="F300" s="43" t="s">
        <v>1506</v>
      </c>
      <c r="G300" s="8">
        <v>957</v>
      </c>
      <c r="H300" s="56">
        <v>45901</v>
      </c>
      <c r="I300" s="56">
        <v>45930</v>
      </c>
      <c r="J300" s="56">
        <v>45930</v>
      </c>
      <c r="K300" s="57">
        <v>2063456</v>
      </c>
      <c r="L300" s="28"/>
      <c r="M300" s="57">
        <v>2063456</v>
      </c>
      <c r="N300" s="28"/>
      <c r="O300" s="28"/>
      <c r="P300" s="28"/>
    </row>
    <row r="301" spans="1:16" ht="67.5" customHeight="1">
      <c r="A301" s="43" t="s">
        <v>165</v>
      </c>
      <c r="B301" s="53" t="s">
        <v>40</v>
      </c>
      <c r="C301" s="54" t="s">
        <v>166</v>
      </c>
      <c r="D301" s="55">
        <v>1113780994</v>
      </c>
      <c r="E301" s="20" t="s">
        <v>1438</v>
      </c>
      <c r="F301" s="43" t="s">
        <v>1507</v>
      </c>
      <c r="G301" s="8">
        <v>958</v>
      </c>
      <c r="H301" s="56">
        <v>45901</v>
      </c>
      <c r="I301" s="56">
        <v>45930</v>
      </c>
      <c r="J301" s="56">
        <v>45930</v>
      </c>
      <c r="K301" s="57">
        <v>2208402</v>
      </c>
      <c r="L301" s="28"/>
      <c r="M301" s="57">
        <v>2208402</v>
      </c>
      <c r="N301" s="28"/>
      <c r="O301" s="28"/>
      <c r="P301" s="28"/>
    </row>
    <row r="302" spans="1:16" ht="67.5" customHeight="1">
      <c r="A302" s="43" t="s">
        <v>1508</v>
      </c>
      <c r="B302" s="53" t="s">
        <v>14</v>
      </c>
      <c r="C302" s="54" t="s">
        <v>1509</v>
      </c>
      <c r="D302" s="55">
        <v>38795407</v>
      </c>
      <c r="E302" s="8" t="s">
        <v>1499</v>
      </c>
      <c r="F302" s="43" t="s">
        <v>1510</v>
      </c>
      <c r="G302" s="8">
        <v>959</v>
      </c>
      <c r="H302" s="56">
        <v>45901</v>
      </c>
      <c r="I302" s="56">
        <v>45930</v>
      </c>
      <c r="J302" s="56">
        <v>45930</v>
      </c>
      <c r="K302" s="57">
        <v>2063456</v>
      </c>
      <c r="L302" s="28"/>
      <c r="M302" s="57">
        <v>2063456</v>
      </c>
      <c r="N302" s="28"/>
      <c r="O302" s="28"/>
      <c r="P302" s="28"/>
    </row>
    <row r="303" spans="1:16" ht="67.5" customHeight="1">
      <c r="A303" s="43" t="s">
        <v>167</v>
      </c>
      <c r="B303" s="53" t="s">
        <v>168</v>
      </c>
      <c r="C303" s="54" t="s">
        <v>169</v>
      </c>
      <c r="D303" s="55">
        <v>1113791651</v>
      </c>
      <c r="E303" s="20" t="s">
        <v>361</v>
      </c>
      <c r="F303" s="43" t="s">
        <v>1511</v>
      </c>
      <c r="G303" s="8">
        <v>960</v>
      </c>
      <c r="H303" s="56">
        <v>45901</v>
      </c>
      <c r="I303" s="56">
        <v>45930</v>
      </c>
      <c r="J303" s="56">
        <v>45930</v>
      </c>
      <c r="K303" s="57">
        <v>2866602</v>
      </c>
      <c r="L303" s="28"/>
      <c r="M303" s="57">
        <v>2866602</v>
      </c>
      <c r="N303" s="28"/>
      <c r="O303" s="28"/>
      <c r="P303" s="28"/>
    </row>
    <row r="304" spans="1:16" ht="67.5" customHeight="1">
      <c r="A304" s="43" t="s">
        <v>22</v>
      </c>
      <c r="B304" s="53" t="s">
        <v>14</v>
      </c>
      <c r="C304" s="54" t="s">
        <v>23</v>
      </c>
      <c r="D304" s="55">
        <v>1116441229</v>
      </c>
      <c r="E304" s="8" t="s">
        <v>1499</v>
      </c>
      <c r="F304" s="43" t="s">
        <v>1512</v>
      </c>
      <c r="G304" s="8">
        <v>961</v>
      </c>
      <c r="H304" s="56">
        <v>45901</v>
      </c>
      <c r="I304" s="56">
        <v>45930</v>
      </c>
      <c r="J304" s="56">
        <v>45930</v>
      </c>
      <c r="K304" s="57">
        <v>2063456</v>
      </c>
      <c r="L304" s="28"/>
      <c r="M304" s="57">
        <v>2063456</v>
      </c>
      <c r="N304" s="28"/>
      <c r="O304" s="28"/>
      <c r="P304" s="28"/>
    </row>
    <row r="305" spans="1:16" ht="67.5" customHeight="1">
      <c r="A305" s="43" t="s">
        <v>170</v>
      </c>
      <c r="B305" s="53" t="s">
        <v>40</v>
      </c>
      <c r="C305" s="54" t="s">
        <v>171</v>
      </c>
      <c r="D305" s="55">
        <v>29775220</v>
      </c>
      <c r="E305" s="20" t="s">
        <v>1438</v>
      </c>
      <c r="F305" s="43" t="s">
        <v>1513</v>
      </c>
      <c r="G305" s="8">
        <v>962</v>
      </c>
      <c r="H305" s="56">
        <v>45901</v>
      </c>
      <c r="I305" s="56">
        <v>45930</v>
      </c>
      <c r="J305" s="56">
        <v>45930</v>
      </c>
      <c r="K305" s="57">
        <v>2208402</v>
      </c>
      <c r="L305" s="28"/>
      <c r="M305" s="57">
        <v>2208402</v>
      </c>
      <c r="N305" s="28"/>
      <c r="O305" s="28"/>
      <c r="P305" s="28"/>
    </row>
    <row r="306" spans="1:16" ht="67.5" customHeight="1">
      <c r="A306" s="43" t="s">
        <v>172</v>
      </c>
      <c r="B306" s="53" t="s">
        <v>40</v>
      </c>
      <c r="C306" s="54" t="s">
        <v>173</v>
      </c>
      <c r="D306" s="55">
        <v>1006439177</v>
      </c>
      <c r="E306" s="20" t="s">
        <v>1438</v>
      </c>
      <c r="F306" s="43" t="s">
        <v>1514</v>
      </c>
      <c r="G306" s="8">
        <v>963</v>
      </c>
      <c r="H306" s="56">
        <v>45901</v>
      </c>
      <c r="I306" s="56">
        <v>45930</v>
      </c>
      <c r="J306" s="56">
        <v>45930</v>
      </c>
      <c r="K306" s="57">
        <v>2208402</v>
      </c>
      <c r="L306" s="28"/>
      <c r="M306" s="57">
        <v>2208402</v>
      </c>
      <c r="N306" s="28"/>
      <c r="O306" s="28"/>
      <c r="P306" s="28"/>
    </row>
    <row r="307" spans="1:16" ht="67.5" customHeight="1">
      <c r="A307" s="43" t="s">
        <v>24</v>
      </c>
      <c r="B307" s="53" t="s">
        <v>14</v>
      </c>
      <c r="C307" s="54" t="s">
        <v>25</v>
      </c>
      <c r="D307" s="55">
        <v>66871195</v>
      </c>
      <c r="E307" s="43" t="s">
        <v>1499</v>
      </c>
      <c r="F307" s="43" t="s">
        <v>1515</v>
      </c>
      <c r="G307" s="8">
        <v>964</v>
      </c>
      <c r="H307" s="56">
        <v>45901</v>
      </c>
      <c r="I307" s="56">
        <v>45930</v>
      </c>
      <c r="J307" s="56">
        <v>45930</v>
      </c>
      <c r="K307" s="57">
        <v>2063456</v>
      </c>
      <c r="L307" s="28"/>
      <c r="M307" s="57">
        <v>2063456</v>
      </c>
      <c r="N307" s="28"/>
      <c r="O307" s="28"/>
      <c r="P307" s="28"/>
    </row>
    <row r="308" spans="1:16" ht="67.5" customHeight="1">
      <c r="A308" s="43" t="s">
        <v>174</v>
      </c>
      <c r="B308" s="53" t="s">
        <v>8</v>
      </c>
      <c r="C308" s="54" t="s">
        <v>175</v>
      </c>
      <c r="D308" s="55">
        <v>66702751</v>
      </c>
      <c r="E308" s="20" t="s">
        <v>361</v>
      </c>
      <c r="F308" s="43" t="s">
        <v>1516</v>
      </c>
      <c r="G308" s="8">
        <v>965</v>
      </c>
      <c r="H308" s="56">
        <v>45901</v>
      </c>
      <c r="I308" s="56">
        <v>45930</v>
      </c>
      <c r="J308" s="56">
        <v>45930</v>
      </c>
      <c r="K308" s="57">
        <v>2098702</v>
      </c>
      <c r="L308" s="28"/>
      <c r="M308" s="57">
        <v>2098702</v>
      </c>
      <c r="N308" s="28"/>
      <c r="O308" s="28"/>
      <c r="P308" s="28"/>
    </row>
    <row r="309" spans="1:16" ht="67.5" customHeight="1">
      <c r="A309" s="43" t="s">
        <v>176</v>
      </c>
      <c r="B309" s="53" t="s">
        <v>177</v>
      </c>
      <c r="C309" s="54" t="s">
        <v>178</v>
      </c>
      <c r="D309" s="55">
        <v>16551512</v>
      </c>
      <c r="E309" s="30" t="s">
        <v>361</v>
      </c>
      <c r="F309" s="43" t="s">
        <v>1517</v>
      </c>
      <c r="G309" s="8">
        <v>966</v>
      </c>
      <c r="H309" s="56">
        <v>45901</v>
      </c>
      <c r="I309" s="56">
        <v>45930</v>
      </c>
      <c r="J309" s="56">
        <v>45930</v>
      </c>
      <c r="K309" s="57">
        <v>2473456</v>
      </c>
      <c r="L309" s="28"/>
      <c r="M309" s="57">
        <v>2473456</v>
      </c>
      <c r="N309" s="28"/>
      <c r="O309" s="28"/>
      <c r="P309" s="28"/>
    </row>
    <row r="310" spans="1:16" ht="67.5" customHeight="1">
      <c r="A310" s="43" t="s">
        <v>179</v>
      </c>
      <c r="B310" s="53" t="s">
        <v>177</v>
      </c>
      <c r="C310" s="54" t="s">
        <v>180</v>
      </c>
      <c r="D310" s="55">
        <v>16549122</v>
      </c>
      <c r="E310" s="20" t="s">
        <v>361</v>
      </c>
      <c r="F310" s="43" t="s">
        <v>1518</v>
      </c>
      <c r="G310" s="8">
        <v>967</v>
      </c>
      <c r="H310" s="56">
        <v>45901</v>
      </c>
      <c r="I310" s="56">
        <v>45930</v>
      </c>
      <c r="J310" s="56">
        <v>45930</v>
      </c>
      <c r="K310" s="57">
        <v>2473456</v>
      </c>
      <c r="L310" s="28"/>
      <c r="M310" s="57">
        <v>2473456</v>
      </c>
      <c r="N310" s="28"/>
      <c r="O310" s="28"/>
      <c r="P310" s="28"/>
    </row>
    <row r="311" spans="1:16" ht="67.5" customHeight="1">
      <c r="A311" s="43" t="s">
        <v>181</v>
      </c>
      <c r="B311" s="53" t="s">
        <v>182</v>
      </c>
      <c r="C311" s="54" t="s">
        <v>183</v>
      </c>
      <c r="D311" s="55">
        <v>1113789308</v>
      </c>
      <c r="E311" s="30" t="s">
        <v>361</v>
      </c>
      <c r="F311" s="43" t="s">
        <v>1519</v>
      </c>
      <c r="G311" s="8">
        <v>968</v>
      </c>
      <c r="H311" s="56">
        <v>45901</v>
      </c>
      <c r="I311" s="56">
        <v>45930</v>
      </c>
      <c r="J311" s="56">
        <v>45930</v>
      </c>
      <c r="K311" s="57">
        <v>2473456</v>
      </c>
      <c r="L311" s="28"/>
      <c r="M311" s="57">
        <v>2473456</v>
      </c>
      <c r="N311" s="28"/>
      <c r="O311" s="28"/>
      <c r="P311" s="28"/>
    </row>
    <row r="312" spans="1:16" ht="67.5" customHeight="1">
      <c r="A312" s="43" t="s">
        <v>184</v>
      </c>
      <c r="B312" s="53" t="s">
        <v>182</v>
      </c>
      <c r="C312" s="54" t="s">
        <v>185</v>
      </c>
      <c r="D312" s="55">
        <v>1112106293</v>
      </c>
      <c r="E312" s="20" t="s">
        <v>361</v>
      </c>
      <c r="F312" s="43" t="s">
        <v>1520</v>
      </c>
      <c r="G312" s="8">
        <v>969</v>
      </c>
      <c r="H312" s="56">
        <v>45901</v>
      </c>
      <c r="I312" s="56">
        <v>45930</v>
      </c>
      <c r="J312" s="56">
        <v>45930</v>
      </c>
      <c r="K312" s="57">
        <v>2473456</v>
      </c>
      <c r="L312" s="28"/>
      <c r="M312" s="57">
        <v>2473456</v>
      </c>
      <c r="N312" s="28"/>
      <c r="O312" s="28"/>
      <c r="P312" s="28"/>
    </row>
    <row r="313" spans="1:16" ht="67.5" customHeight="1">
      <c r="A313" s="43" t="s">
        <v>186</v>
      </c>
      <c r="B313" s="53" t="s">
        <v>182</v>
      </c>
      <c r="C313" s="54" t="s">
        <v>187</v>
      </c>
      <c r="D313" s="55">
        <v>1113778266</v>
      </c>
      <c r="E313" s="20" t="s">
        <v>361</v>
      </c>
      <c r="F313" s="43" t="s">
        <v>1521</v>
      </c>
      <c r="G313" s="8">
        <v>970</v>
      </c>
      <c r="H313" s="56">
        <v>45901</v>
      </c>
      <c r="I313" s="56">
        <v>45930</v>
      </c>
      <c r="J313" s="56">
        <v>45930</v>
      </c>
      <c r="K313" s="57">
        <v>2473456</v>
      </c>
      <c r="L313" s="28"/>
      <c r="M313" s="57">
        <v>2473456</v>
      </c>
      <c r="N313" s="28"/>
      <c r="O313" s="28"/>
      <c r="P313" s="28"/>
    </row>
    <row r="314" spans="1:16" ht="67.5" customHeight="1">
      <c r="A314" s="43" t="s">
        <v>188</v>
      </c>
      <c r="B314" s="53" t="s">
        <v>177</v>
      </c>
      <c r="C314" s="54" t="s">
        <v>189</v>
      </c>
      <c r="D314" s="55">
        <v>16698012</v>
      </c>
      <c r="E314" s="20" t="s">
        <v>361</v>
      </c>
      <c r="F314" s="43" t="s">
        <v>1522</v>
      </c>
      <c r="G314" s="8">
        <v>1052</v>
      </c>
      <c r="H314" s="56">
        <v>45901</v>
      </c>
      <c r="I314" s="56">
        <v>45930</v>
      </c>
      <c r="J314" s="56">
        <v>45930</v>
      </c>
      <c r="K314" s="57">
        <v>2473456</v>
      </c>
      <c r="L314" s="28"/>
      <c r="M314" s="57">
        <v>2473456</v>
      </c>
      <c r="N314" s="28"/>
      <c r="O314" s="28"/>
      <c r="P314" s="28"/>
    </row>
    <row r="315" spans="1:16" ht="67.5" customHeight="1">
      <c r="A315" s="43" t="s">
        <v>190</v>
      </c>
      <c r="B315" s="53" t="s">
        <v>191</v>
      </c>
      <c r="C315" s="54" t="s">
        <v>192</v>
      </c>
      <c r="D315" s="55">
        <v>1113793226</v>
      </c>
      <c r="E315" s="30" t="s">
        <v>372</v>
      </c>
      <c r="F315" s="43" t="s">
        <v>1523</v>
      </c>
      <c r="G315" s="8">
        <v>971</v>
      </c>
      <c r="H315" s="56">
        <v>45901</v>
      </c>
      <c r="I315" s="56">
        <v>45930</v>
      </c>
      <c r="J315" s="56">
        <v>45930</v>
      </c>
      <c r="K315" s="57">
        <v>2268456</v>
      </c>
      <c r="L315" s="28"/>
      <c r="M315" s="57">
        <v>2268456</v>
      </c>
      <c r="N315" s="28"/>
      <c r="O315" s="28"/>
      <c r="P315" s="28"/>
    </row>
    <row r="316" spans="1:16" ht="67.5" customHeight="1">
      <c r="A316" s="43" t="s">
        <v>193</v>
      </c>
      <c r="B316" s="53" t="s">
        <v>182</v>
      </c>
      <c r="C316" s="54" t="s">
        <v>194</v>
      </c>
      <c r="D316" s="55">
        <v>1006592694</v>
      </c>
      <c r="E316" s="30" t="s">
        <v>361</v>
      </c>
      <c r="F316" s="43" t="s">
        <v>1524</v>
      </c>
      <c r="G316" s="8">
        <v>972</v>
      </c>
      <c r="H316" s="56">
        <v>45901</v>
      </c>
      <c r="I316" s="56">
        <v>45930</v>
      </c>
      <c r="J316" s="56">
        <v>45930</v>
      </c>
      <c r="K316" s="57">
        <v>2473456</v>
      </c>
      <c r="L316" s="28"/>
      <c r="M316" s="57">
        <v>2473456</v>
      </c>
      <c r="N316" s="28"/>
      <c r="O316" s="28"/>
      <c r="P316" s="28"/>
    </row>
    <row r="317" spans="1:16" ht="67.5" customHeight="1">
      <c r="A317" s="43" t="s">
        <v>26</v>
      </c>
      <c r="B317" s="53" t="s">
        <v>14</v>
      </c>
      <c r="C317" s="54" t="s">
        <v>27</v>
      </c>
      <c r="D317" s="55">
        <v>29159778</v>
      </c>
      <c r="E317" s="43" t="s">
        <v>1499</v>
      </c>
      <c r="F317" s="43" t="s">
        <v>1525</v>
      </c>
      <c r="G317" s="8">
        <v>973</v>
      </c>
      <c r="H317" s="56">
        <v>45901</v>
      </c>
      <c r="I317" s="56">
        <v>45930</v>
      </c>
      <c r="J317" s="56">
        <v>45930</v>
      </c>
      <c r="K317" s="57">
        <v>2063456</v>
      </c>
      <c r="L317" s="28"/>
      <c r="M317" s="57">
        <v>2063456</v>
      </c>
      <c r="N317" s="28"/>
      <c r="O317" s="28"/>
      <c r="P317" s="28"/>
    </row>
    <row r="318" spans="1:16" ht="67.5" customHeight="1">
      <c r="A318" s="43" t="s">
        <v>195</v>
      </c>
      <c r="B318" s="53" t="s">
        <v>182</v>
      </c>
      <c r="C318" s="54" t="s">
        <v>196</v>
      </c>
      <c r="D318" s="55">
        <v>29774964</v>
      </c>
      <c r="E318" s="20" t="s">
        <v>361</v>
      </c>
      <c r="F318" s="43" t="s">
        <v>1526</v>
      </c>
      <c r="G318" s="8">
        <v>974</v>
      </c>
      <c r="H318" s="56">
        <v>45901</v>
      </c>
      <c r="I318" s="56">
        <v>45930</v>
      </c>
      <c r="J318" s="56">
        <v>45930</v>
      </c>
      <c r="K318" s="57">
        <v>2473456</v>
      </c>
      <c r="L318" s="28"/>
      <c r="M318" s="57">
        <v>2473456</v>
      </c>
      <c r="N318" s="28"/>
      <c r="O318" s="28"/>
      <c r="P318" s="28"/>
    </row>
    <row r="319" spans="1:16" ht="67.5" customHeight="1">
      <c r="A319" s="43" t="s">
        <v>197</v>
      </c>
      <c r="B319" s="53" t="s">
        <v>198</v>
      </c>
      <c r="C319" s="54" t="s">
        <v>199</v>
      </c>
      <c r="D319" s="55">
        <v>1114122497</v>
      </c>
      <c r="E319" s="43" t="s">
        <v>1527</v>
      </c>
      <c r="F319" s="43" t="s">
        <v>1528</v>
      </c>
      <c r="G319" s="8">
        <v>975</v>
      </c>
      <c r="H319" s="56">
        <v>45901</v>
      </c>
      <c r="I319" s="56">
        <v>45930</v>
      </c>
      <c r="J319" s="56">
        <v>45930</v>
      </c>
      <c r="K319" s="57">
        <v>2063456</v>
      </c>
      <c r="L319" s="28"/>
      <c r="M319" s="57">
        <v>2063456</v>
      </c>
      <c r="N319" s="28"/>
      <c r="O319" s="28"/>
      <c r="P319" s="28"/>
    </row>
    <row r="320" spans="1:16" ht="67.5" customHeight="1">
      <c r="A320" s="43" t="s">
        <v>200</v>
      </c>
      <c r="B320" s="53" t="s">
        <v>201</v>
      </c>
      <c r="C320" s="54" t="s">
        <v>202</v>
      </c>
      <c r="D320" s="55">
        <v>1113782860</v>
      </c>
      <c r="E320" s="8" t="s">
        <v>1499</v>
      </c>
      <c r="F320" s="43" t="s">
        <v>1529</v>
      </c>
      <c r="G320" s="8">
        <v>976</v>
      </c>
      <c r="H320" s="56">
        <v>45901</v>
      </c>
      <c r="I320" s="56">
        <v>45930</v>
      </c>
      <c r="J320" s="56">
        <v>45930</v>
      </c>
      <c r="K320" s="57">
        <v>3500000</v>
      </c>
      <c r="L320" s="28"/>
      <c r="M320" s="57">
        <v>3500000</v>
      </c>
      <c r="N320" s="28"/>
      <c r="O320" s="28"/>
      <c r="P320" s="28"/>
    </row>
    <row r="321" spans="1:16" ht="67.5" customHeight="1">
      <c r="A321" s="43" t="s">
        <v>203</v>
      </c>
      <c r="B321" s="53" t="s">
        <v>204</v>
      </c>
      <c r="C321" s="54" t="s">
        <v>205</v>
      </c>
      <c r="D321" s="55">
        <v>1113789202</v>
      </c>
      <c r="E321" s="43" t="s">
        <v>1499</v>
      </c>
      <c r="F321" s="43" t="s">
        <v>1530</v>
      </c>
      <c r="G321" s="8">
        <v>977</v>
      </c>
      <c r="H321" s="56">
        <v>45901</v>
      </c>
      <c r="I321" s="56">
        <v>45930</v>
      </c>
      <c r="J321" s="56">
        <v>45930</v>
      </c>
      <c r="K321" s="57">
        <v>2985956</v>
      </c>
      <c r="L321" s="28"/>
      <c r="M321" s="57">
        <v>2985956</v>
      </c>
      <c r="N321" s="28"/>
      <c r="O321" s="28"/>
      <c r="P321" s="28"/>
    </row>
    <row r="322" spans="1:16" ht="67.5" customHeight="1">
      <c r="A322" s="43" t="s">
        <v>206</v>
      </c>
      <c r="B322" s="53" t="s">
        <v>204</v>
      </c>
      <c r="C322" s="54" t="s">
        <v>207</v>
      </c>
      <c r="D322" s="55">
        <v>1113786194</v>
      </c>
      <c r="E322" s="43" t="s">
        <v>1499</v>
      </c>
      <c r="F322" s="43" t="s">
        <v>1531</v>
      </c>
      <c r="G322" s="8">
        <v>978</v>
      </c>
      <c r="H322" s="56">
        <v>45901</v>
      </c>
      <c r="I322" s="56">
        <v>45930</v>
      </c>
      <c r="J322" s="56">
        <v>45930</v>
      </c>
      <c r="K322" s="57">
        <v>2985956</v>
      </c>
      <c r="L322" s="28"/>
      <c r="M322" s="57">
        <v>2985956</v>
      </c>
      <c r="N322" s="28"/>
      <c r="O322" s="28"/>
      <c r="P322" s="28"/>
    </row>
    <row r="323" spans="1:16" ht="67.5" customHeight="1">
      <c r="A323" s="43" t="s">
        <v>208</v>
      </c>
      <c r="B323" s="53" t="s">
        <v>209</v>
      </c>
      <c r="C323" s="54" t="s">
        <v>210</v>
      </c>
      <c r="D323" s="55">
        <v>66753870</v>
      </c>
      <c r="E323" s="8" t="s">
        <v>1499</v>
      </c>
      <c r="F323" s="43" t="s">
        <v>1532</v>
      </c>
      <c r="G323" s="8">
        <v>979</v>
      </c>
      <c r="H323" s="56">
        <v>45901</v>
      </c>
      <c r="I323" s="56">
        <v>45930</v>
      </c>
      <c r="J323" s="56">
        <v>45930</v>
      </c>
      <c r="K323" s="57">
        <v>3293456</v>
      </c>
      <c r="L323" s="28"/>
      <c r="M323" s="57">
        <v>3293456</v>
      </c>
      <c r="N323" s="28"/>
      <c r="O323" s="28"/>
      <c r="P323" s="28"/>
    </row>
    <row r="324" spans="1:16" ht="67.5" customHeight="1">
      <c r="A324" s="43" t="s">
        <v>211</v>
      </c>
      <c r="B324" s="53" t="s">
        <v>209</v>
      </c>
      <c r="C324" s="54" t="s">
        <v>212</v>
      </c>
      <c r="D324" s="55">
        <v>1113782407</v>
      </c>
      <c r="E324" s="43" t="s">
        <v>1499</v>
      </c>
      <c r="F324" s="43" t="s">
        <v>1533</v>
      </c>
      <c r="G324" s="8">
        <v>980</v>
      </c>
      <c r="H324" s="56">
        <v>45901</v>
      </c>
      <c r="I324" s="56">
        <v>45930</v>
      </c>
      <c r="J324" s="56">
        <v>45930</v>
      </c>
      <c r="K324" s="57">
        <v>3293456</v>
      </c>
      <c r="L324" s="28"/>
      <c r="M324" s="57">
        <v>3293456</v>
      </c>
      <c r="N324" s="28"/>
      <c r="O324" s="28"/>
      <c r="P324" s="28"/>
    </row>
    <row r="325" spans="1:16" ht="67.5" customHeight="1">
      <c r="A325" s="43" t="s">
        <v>213</v>
      </c>
      <c r="B325" s="53" t="s">
        <v>214</v>
      </c>
      <c r="C325" s="54" t="s">
        <v>215</v>
      </c>
      <c r="D325" s="55">
        <v>16549566</v>
      </c>
      <c r="E325" s="43" t="s">
        <v>1534</v>
      </c>
      <c r="F325" s="43" t="s">
        <v>1535</v>
      </c>
      <c r="G325" s="8">
        <v>981</v>
      </c>
      <c r="H325" s="56">
        <v>45901</v>
      </c>
      <c r="I325" s="56">
        <v>45930</v>
      </c>
      <c r="J325" s="56">
        <v>45930</v>
      </c>
      <c r="K325" s="57">
        <v>2667000</v>
      </c>
      <c r="L325" s="28"/>
      <c r="M325" s="57">
        <v>2667000</v>
      </c>
      <c r="N325" s="28"/>
      <c r="O325" s="28"/>
      <c r="P325" s="28"/>
    </row>
    <row r="326" spans="1:16" ht="67.5" customHeight="1">
      <c r="A326" s="43" t="s">
        <v>216</v>
      </c>
      <c r="B326" s="53" t="s">
        <v>214</v>
      </c>
      <c r="C326" s="54" t="s">
        <v>217</v>
      </c>
      <c r="D326" s="55">
        <v>1113785743</v>
      </c>
      <c r="E326" s="8" t="s">
        <v>1534</v>
      </c>
      <c r="F326" s="43" t="s">
        <v>1536</v>
      </c>
      <c r="G326" s="8">
        <v>982</v>
      </c>
      <c r="H326" s="56">
        <v>45901</v>
      </c>
      <c r="I326" s="56">
        <v>45930</v>
      </c>
      <c r="J326" s="56">
        <v>45930</v>
      </c>
      <c r="K326" s="57">
        <v>2336800</v>
      </c>
      <c r="L326" s="28"/>
      <c r="M326" s="57">
        <v>2336800</v>
      </c>
      <c r="N326" s="28"/>
      <c r="O326" s="28"/>
      <c r="P326" s="28"/>
    </row>
    <row r="327" spans="1:16" ht="67.5" customHeight="1">
      <c r="A327" s="43" t="s">
        <v>218</v>
      </c>
      <c r="B327" s="53" t="s">
        <v>51</v>
      </c>
      <c r="C327" s="54" t="s">
        <v>219</v>
      </c>
      <c r="D327" s="55">
        <v>1113785374</v>
      </c>
      <c r="E327" s="20" t="s">
        <v>361</v>
      </c>
      <c r="F327" s="43" t="s">
        <v>1537</v>
      </c>
      <c r="G327" s="8">
        <v>983</v>
      </c>
      <c r="H327" s="56">
        <v>45901</v>
      </c>
      <c r="I327" s="56">
        <v>45930</v>
      </c>
      <c r="J327" s="56">
        <v>45930</v>
      </c>
      <c r="K327" s="57">
        <v>2427802</v>
      </c>
      <c r="L327" s="28"/>
      <c r="M327" s="57">
        <v>2427802</v>
      </c>
      <c r="N327" s="28"/>
      <c r="O327" s="28"/>
      <c r="P327" s="28"/>
    </row>
    <row r="328" spans="1:16" ht="67.5" customHeight="1">
      <c r="A328" s="43" t="s">
        <v>220</v>
      </c>
      <c r="B328" s="53" t="s">
        <v>214</v>
      </c>
      <c r="C328" s="54" t="s">
        <v>221</v>
      </c>
      <c r="D328" s="55">
        <v>1113789528</v>
      </c>
      <c r="E328" s="8" t="s">
        <v>1534</v>
      </c>
      <c r="F328" s="43" t="s">
        <v>1538</v>
      </c>
      <c r="G328" s="8">
        <v>984</v>
      </c>
      <c r="H328" s="56">
        <v>45901</v>
      </c>
      <c r="I328" s="56">
        <v>45930</v>
      </c>
      <c r="J328" s="56">
        <v>45930</v>
      </c>
      <c r="K328" s="57">
        <v>2641600</v>
      </c>
      <c r="L328" s="28"/>
      <c r="M328" s="57">
        <v>2641600</v>
      </c>
      <c r="N328" s="28"/>
      <c r="O328" s="28"/>
      <c r="P328" s="28"/>
    </row>
    <row r="329" spans="1:16" ht="67.5" customHeight="1">
      <c r="A329" s="43" t="s">
        <v>222</v>
      </c>
      <c r="B329" s="53" t="s">
        <v>214</v>
      </c>
      <c r="C329" s="54" t="s">
        <v>223</v>
      </c>
      <c r="D329" s="55">
        <v>1112631947</v>
      </c>
      <c r="E329" s="43" t="s">
        <v>1534</v>
      </c>
      <c r="F329" s="43" t="s">
        <v>1539</v>
      </c>
      <c r="G329" s="8">
        <v>985</v>
      </c>
      <c r="H329" s="56">
        <v>45901</v>
      </c>
      <c r="I329" s="56">
        <v>45930</v>
      </c>
      <c r="J329" s="56">
        <v>45930</v>
      </c>
      <c r="K329" s="57">
        <v>2133600</v>
      </c>
      <c r="L329" s="28"/>
      <c r="M329" s="57">
        <v>2133600</v>
      </c>
      <c r="N329" s="28"/>
      <c r="O329" s="28"/>
      <c r="P329" s="28"/>
    </row>
    <row r="330" spans="1:16" ht="67.5" customHeight="1">
      <c r="A330" s="43" t="s">
        <v>224</v>
      </c>
      <c r="B330" s="53" t="s">
        <v>214</v>
      </c>
      <c r="C330" s="54" t="s">
        <v>225</v>
      </c>
      <c r="D330" s="55">
        <v>1113785647</v>
      </c>
      <c r="E330" s="8" t="s">
        <v>1534</v>
      </c>
      <c r="F330" s="43" t="s">
        <v>1540</v>
      </c>
      <c r="G330" s="8">
        <v>986</v>
      </c>
      <c r="H330" s="56">
        <v>45901</v>
      </c>
      <c r="I330" s="56">
        <v>45930</v>
      </c>
      <c r="J330" s="56">
        <v>45930</v>
      </c>
      <c r="K330" s="57">
        <v>2463800</v>
      </c>
      <c r="L330" s="28"/>
      <c r="M330" s="57">
        <v>2463800</v>
      </c>
      <c r="N330" s="28"/>
      <c r="O330" s="28"/>
      <c r="P330" s="28"/>
    </row>
    <row r="331" spans="1:16" ht="67.5" customHeight="1">
      <c r="A331" s="43" t="s">
        <v>226</v>
      </c>
      <c r="B331" s="53" t="s">
        <v>214</v>
      </c>
      <c r="C331" s="54" t="s">
        <v>227</v>
      </c>
      <c r="D331" s="55">
        <v>1113787869</v>
      </c>
      <c r="E331" s="8" t="s">
        <v>1534</v>
      </c>
      <c r="F331" s="43" t="s">
        <v>1541</v>
      </c>
      <c r="G331" s="8">
        <v>987</v>
      </c>
      <c r="H331" s="56">
        <v>45901</v>
      </c>
      <c r="I331" s="56">
        <v>45930</v>
      </c>
      <c r="J331" s="56">
        <v>45930</v>
      </c>
      <c r="K331" s="57">
        <v>2616200</v>
      </c>
      <c r="L331" s="28"/>
      <c r="M331" s="57">
        <v>2616200</v>
      </c>
      <c r="N331" s="28"/>
      <c r="O331" s="28"/>
      <c r="P331" s="28"/>
    </row>
    <row r="332" spans="1:16" ht="67.5" customHeight="1">
      <c r="A332" s="43" t="s">
        <v>228</v>
      </c>
      <c r="B332" s="53" t="s">
        <v>214</v>
      </c>
      <c r="C332" s="54" t="s">
        <v>229</v>
      </c>
      <c r="D332" s="55">
        <v>1113787301</v>
      </c>
      <c r="E332" s="8" t="s">
        <v>1534</v>
      </c>
      <c r="F332" s="43" t="s">
        <v>1542</v>
      </c>
      <c r="G332" s="8">
        <v>988</v>
      </c>
      <c r="H332" s="56">
        <v>45901</v>
      </c>
      <c r="I332" s="56">
        <v>45930</v>
      </c>
      <c r="J332" s="56">
        <v>45930</v>
      </c>
      <c r="K332" s="57">
        <v>3048000</v>
      </c>
      <c r="L332" s="28"/>
      <c r="M332" s="57">
        <v>3048000</v>
      </c>
      <c r="N332" s="28"/>
      <c r="O332" s="28"/>
      <c r="P332" s="28"/>
    </row>
    <row r="333" spans="1:16" ht="67.5" customHeight="1">
      <c r="A333" s="43" t="s">
        <v>230</v>
      </c>
      <c r="B333" s="53" t="s">
        <v>29</v>
      </c>
      <c r="C333" s="54" t="s">
        <v>231</v>
      </c>
      <c r="D333" s="55">
        <v>1007452265</v>
      </c>
      <c r="E333" s="43" t="s">
        <v>1499</v>
      </c>
      <c r="F333" s="43" t="s">
        <v>1543</v>
      </c>
      <c r="G333" s="8">
        <v>989</v>
      </c>
      <c r="H333" s="56">
        <v>45901</v>
      </c>
      <c r="I333" s="56">
        <v>45930</v>
      </c>
      <c r="J333" s="56">
        <v>45930</v>
      </c>
      <c r="K333" s="57">
        <v>2476500</v>
      </c>
      <c r="L333" s="28"/>
      <c r="M333" s="57">
        <v>2476500</v>
      </c>
      <c r="N333" s="28"/>
      <c r="O333" s="28"/>
      <c r="P333" s="28"/>
    </row>
    <row r="334" spans="1:16" ht="67.5" customHeight="1">
      <c r="A334" s="43" t="s">
        <v>232</v>
      </c>
      <c r="B334" s="53" t="s">
        <v>8</v>
      </c>
      <c r="C334" s="54" t="s">
        <v>233</v>
      </c>
      <c r="D334" s="55">
        <v>1113782163</v>
      </c>
      <c r="E334" s="20" t="s">
        <v>361</v>
      </c>
      <c r="F334" s="43" t="s">
        <v>1544</v>
      </c>
      <c r="G334" s="8">
        <v>990</v>
      </c>
      <c r="H334" s="56">
        <v>45901</v>
      </c>
      <c r="I334" s="56">
        <v>45930</v>
      </c>
      <c r="J334" s="56">
        <v>45930</v>
      </c>
      <c r="K334" s="57">
        <v>2098702</v>
      </c>
      <c r="L334" s="28"/>
      <c r="M334" s="57">
        <v>2098702</v>
      </c>
      <c r="N334" s="28"/>
      <c r="O334" s="28"/>
      <c r="P334" s="28"/>
    </row>
    <row r="335" spans="1:16" ht="67.5" customHeight="1">
      <c r="A335" s="43" t="s">
        <v>234</v>
      </c>
      <c r="B335" s="53" t="s">
        <v>235</v>
      </c>
      <c r="C335" s="54" t="s">
        <v>236</v>
      </c>
      <c r="D335" s="55">
        <v>1007820654</v>
      </c>
      <c r="E335" s="43" t="s">
        <v>1527</v>
      </c>
      <c r="F335" s="43" t="s">
        <v>1545</v>
      </c>
      <c r="G335" s="8">
        <v>991</v>
      </c>
      <c r="H335" s="56">
        <v>45901</v>
      </c>
      <c r="I335" s="56">
        <v>45930</v>
      </c>
      <c r="J335" s="56">
        <v>45930</v>
      </c>
      <c r="K335" s="57">
        <v>3293456</v>
      </c>
      <c r="L335" s="28"/>
      <c r="M335" s="57">
        <v>3293456</v>
      </c>
      <c r="N335" s="28"/>
      <c r="O335" s="28"/>
      <c r="P335" s="28"/>
    </row>
    <row r="336" spans="1:16" ht="67.5" customHeight="1">
      <c r="A336" s="73" t="s">
        <v>237</v>
      </c>
      <c r="B336" s="75" t="s">
        <v>235</v>
      </c>
      <c r="C336" s="54" t="s">
        <v>238</v>
      </c>
      <c r="D336" s="55">
        <v>1116439218</v>
      </c>
      <c r="E336" s="43" t="s">
        <v>1527</v>
      </c>
      <c r="F336" s="43" t="s">
        <v>1546</v>
      </c>
      <c r="G336" s="8">
        <v>992</v>
      </c>
      <c r="H336" s="56">
        <v>45901</v>
      </c>
      <c r="I336" s="56">
        <v>45930</v>
      </c>
      <c r="J336" s="56">
        <v>45930</v>
      </c>
      <c r="K336" s="57">
        <v>3293456</v>
      </c>
      <c r="L336" s="28"/>
      <c r="M336" s="57">
        <v>3293456</v>
      </c>
      <c r="N336" s="28"/>
      <c r="O336" s="28"/>
      <c r="P336" s="28"/>
    </row>
    <row r="337" spans="1:16" ht="67.5" customHeight="1">
      <c r="A337" s="43" t="s">
        <v>239</v>
      </c>
      <c r="B337" s="53" t="s">
        <v>214</v>
      </c>
      <c r="C337" s="54" t="s">
        <v>240</v>
      </c>
      <c r="D337" s="55">
        <v>1116443874</v>
      </c>
      <c r="E337" s="8" t="s">
        <v>1534</v>
      </c>
      <c r="F337" s="43" t="s">
        <v>1547</v>
      </c>
      <c r="G337" s="8">
        <v>993</v>
      </c>
      <c r="H337" s="56">
        <v>45901</v>
      </c>
      <c r="I337" s="56">
        <v>45930</v>
      </c>
      <c r="J337" s="56">
        <v>45930</v>
      </c>
      <c r="K337" s="57">
        <v>2641000</v>
      </c>
      <c r="L337" s="28"/>
      <c r="M337" s="57">
        <v>2641000</v>
      </c>
      <c r="N337" s="28"/>
      <c r="O337" s="28"/>
      <c r="P337" s="28"/>
    </row>
    <row r="338" spans="1:16" ht="67.5" customHeight="1">
      <c r="A338" s="43" t="s">
        <v>241</v>
      </c>
      <c r="B338" s="53" t="s">
        <v>214</v>
      </c>
      <c r="C338" s="54" t="s">
        <v>242</v>
      </c>
      <c r="D338" s="55">
        <v>1088288852</v>
      </c>
      <c r="E338" s="8" t="s">
        <v>1534</v>
      </c>
      <c r="F338" s="43" t="s">
        <v>1548</v>
      </c>
      <c r="G338" s="8">
        <v>994</v>
      </c>
      <c r="H338" s="56">
        <v>45901</v>
      </c>
      <c r="I338" s="56">
        <v>45930</v>
      </c>
      <c r="J338" s="56">
        <v>45930</v>
      </c>
      <c r="K338" s="57">
        <v>2413000</v>
      </c>
      <c r="L338" s="28"/>
      <c r="M338" s="57">
        <v>2413000</v>
      </c>
      <c r="N338" s="28"/>
      <c r="O338" s="28"/>
      <c r="P338" s="28"/>
    </row>
    <row r="339" spans="1:16" ht="67.5" customHeight="1">
      <c r="A339" s="43" t="s">
        <v>243</v>
      </c>
      <c r="B339" s="53" t="s">
        <v>214</v>
      </c>
      <c r="C339" s="54" t="s">
        <v>244</v>
      </c>
      <c r="D339" s="55">
        <v>1130589789</v>
      </c>
      <c r="E339" s="43" t="s">
        <v>1534</v>
      </c>
      <c r="F339" s="43" t="s">
        <v>1549</v>
      </c>
      <c r="G339" s="8">
        <v>995</v>
      </c>
      <c r="H339" s="56">
        <v>45901</v>
      </c>
      <c r="I339" s="56">
        <v>45930</v>
      </c>
      <c r="J339" s="56">
        <v>45930</v>
      </c>
      <c r="K339" s="57">
        <v>2794000</v>
      </c>
      <c r="L339" s="28"/>
      <c r="M339" s="57">
        <v>2794000</v>
      </c>
      <c r="N339" s="28"/>
      <c r="O339" s="28"/>
      <c r="P339" s="28"/>
    </row>
    <row r="340" spans="1:16" ht="67.5" customHeight="1">
      <c r="A340" s="43" t="s">
        <v>245</v>
      </c>
      <c r="B340" s="53" t="s">
        <v>214</v>
      </c>
      <c r="C340" s="54" t="s">
        <v>246</v>
      </c>
      <c r="D340" s="55">
        <v>1006851239</v>
      </c>
      <c r="E340" s="43" t="s">
        <v>1534</v>
      </c>
      <c r="F340" s="43" t="s">
        <v>1550</v>
      </c>
      <c r="G340" s="8">
        <v>996</v>
      </c>
      <c r="H340" s="56">
        <v>45901</v>
      </c>
      <c r="I340" s="56">
        <v>45930</v>
      </c>
      <c r="J340" s="56">
        <v>45930</v>
      </c>
      <c r="K340" s="57">
        <v>2336800</v>
      </c>
      <c r="L340" s="28"/>
      <c r="M340" s="57">
        <v>2336800</v>
      </c>
      <c r="N340" s="28"/>
      <c r="O340" s="28"/>
      <c r="P340" s="28"/>
    </row>
    <row r="341" spans="1:16" ht="67.5" customHeight="1">
      <c r="A341" s="43" t="s">
        <v>247</v>
      </c>
      <c r="B341" s="53" t="s">
        <v>214</v>
      </c>
      <c r="C341" s="54" t="s">
        <v>248</v>
      </c>
      <c r="D341" s="55">
        <v>1113778636</v>
      </c>
      <c r="E341" s="8" t="s">
        <v>1534</v>
      </c>
      <c r="F341" s="43" t="s">
        <v>1551</v>
      </c>
      <c r="G341" s="8">
        <v>997</v>
      </c>
      <c r="H341" s="56">
        <v>45901</v>
      </c>
      <c r="I341" s="56">
        <v>45930</v>
      </c>
      <c r="J341" s="56">
        <v>45930</v>
      </c>
      <c r="K341" s="57">
        <v>2641600</v>
      </c>
      <c r="L341" s="28"/>
      <c r="M341" s="57">
        <v>2641600</v>
      </c>
      <c r="N341" s="28"/>
      <c r="O341" s="28"/>
      <c r="P341" s="28"/>
    </row>
    <row r="342" spans="1:16" ht="67.5" customHeight="1">
      <c r="A342" s="43" t="s">
        <v>249</v>
      </c>
      <c r="B342" s="53" t="s">
        <v>29</v>
      </c>
      <c r="C342" s="54" t="s">
        <v>250</v>
      </c>
      <c r="D342" s="55">
        <v>1114120456</v>
      </c>
      <c r="E342" s="8" t="s">
        <v>1499</v>
      </c>
      <c r="F342" s="43" t="s">
        <v>1552</v>
      </c>
      <c r="G342" s="8">
        <v>998</v>
      </c>
      <c r="H342" s="56">
        <v>45901</v>
      </c>
      <c r="I342" s="56">
        <v>45930</v>
      </c>
      <c r="J342" s="56">
        <v>45930</v>
      </c>
      <c r="K342" s="57">
        <v>2667000</v>
      </c>
      <c r="L342" s="28"/>
      <c r="M342" s="57">
        <v>2667000</v>
      </c>
      <c r="N342" s="28"/>
      <c r="O342" s="28"/>
      <c r="P342" s="28"/>
    </row>
    <row r="343" spans="1:16" ht="67.5" customHeight="1">
      <c r="A343" s="43" t="s">
        <v>251</v>
      </c>
      <c r="B343" s="53" t="s">
        <v>177</v>
      </c>
      <c r="C343" s="54" t="s">
        <v>252</v>
      </c>
      <c r="D343" s="55">
        <v>13483591</v>
      </c>
      <c r="E343" s="20" t="s">
        <v>361</v>
      </c>
      <c r="F343" s="43" t="s">
        <v>1553</v>
      </c>
      <c r="G343" s="8">
        <v>999</v>
      </c>
      <c r="H343" s="56">
        <v>45901</v>
      </c>
      <c r="I343" s="56">
        <v>45930</v>
      </c>
      <c r="J343" s="56">
        <v>45930</v>
      </c>
      <c r="K343" s="57">
        <v>2473456</v>
      </c>
      <c r="L343" s="28"/>
      <c r="M343" s="57">
        <v>2473456</v>
      </c>
      <c r="N343" s="28"/>
      <c r="O343" s="28"/>
      <c r="P343" s="28"/>
    </row>
    <row r="344" spans="1:16" ht="67.5" customHeight="1">
      <c r="A344" s="43" t="s">
        <v>28</v>
      </c>
      <c r="B344" s="53" t="s">
        <v>29</v>
      </c>
      <c r="C344" s="54" t="s">
        <v>30</v>
      </c>
      <c r="D344" s="55">
        <v>1116132951</v>
      </c>
      <c r="E344" s="43" t="s">
        <v>1499</v>
      </c>
      <c r="F344" s="43" t="s">
        <v>1554</v>
      </c>
      <c r="G344" s="8">
        <v>1000</v>
      </c>
      <c r="H344" s="56">
        <v>45901</v>
      </c>
      <c r="I344" s="56">
        <v>45930</v>
      </c>
      <c r="J344" s="56">
        <v>45930</v>
      </c>
      <c r="K344" s="57">
        <v>2311400</v>
      </c>
      <c r="L344" s="28"/>
      <c r="M344" s="57">
        <v>2311400</v>
      </c>
      <c r="N344" s="28"/>
      <c r="O344" s="28"/>
      <c r="P344" s="28"/>
    </row>
    <row r="345" spans="1:16" ht="67.5" customHeight="1">
      <c r="A345" s="43" t="s">
        <v>253</v>
      </c>
      <c r="B345" s="53" t="s">
        <v>214</v>
      </c>
      <c r="C345" s="54" t="s">
        <v>254</v>
      </c>
      <c r="D345" s="55">
        <v>64575445</v>
      </c>
      <c r="E345" s="43" t="s">
        <v>1534</v>
      </c>
      <c r="F345" s="43" t="s">
        <v>1555</v>
      </c>
      <c r="G345" s="8">
        <v>1001</v>
      </c>
      <c r="H345" s="56">
        <v>45901</v>
      </c>
      <c r="I345" s="56">
        <v>45930</v>
      </c>
      <c r="J345" s="56">
        <v>45930</v>
      </c>
      <c r="K345" s="57">
        <v>2336800</v>
      </c>
      <c r="L345" s="28"/>
      <c r="M345" s="57">
        <v>2336800</v>
      </c>
      <c r="N345" s="28"/>
      <c r="O345" s="28"/>
      <c r="P345" s="28"/>
    </row>
    <row r="346" spans="1:16" ht="67.5" customHeight="1">
      <c r="A346" s="43" t="s">
        <v>255</v>
      </c>
      <c r="B346" s="53" t="s">
        <v>29</v>
      </c>
      <c r="C346" s="54" t="s">
        <v>256</v>
      </c>
      <c r="D346" s="55">
        <v>1113789810</v>
      </c>
      <c r="E346" s="43" t="s">
        <v>1499</v>
      </c>
      <c r="F346" s="43" t="s">
        <v>1556</v>
      </c>
      <c r="G346" s="8">
        <v>1002</v>
      </c>
      <c r="H346" s="56">
        <v>45901</v>
      </c>
      <c r="I346" s="56">
        <v>45930</v>
      </c>
      <c r="J346" s="56">
        <v>45930</v>
      </c>
      <c r="K346" s="57">
        <v>1828800</v>
      </c>
      <c r="L346" s="28"/>
      <c r="M346" s="57">
        <v>1828800</v>
      </c>
      <c r="N346" s="28"/>
      <c r="O346" s="28"/>
      <c r="P346" s="28"/>
    </row>
    <row r="347" spans="1:16" ht="67.5" customHeight="1">
      <c r="A347" s="43" t="s">
        <v>257</v>
      </c>
      <c r="B347" s="53" t="s">
        <v>258</v>
      </c>
      <c r="C347" s="54" t="s">
        <v>259</v>
      </c>
      <c r="D347" s="55">
        <v>66873289</v>
      </c>
      <c r="E347" s="30" t="s">
        <v>372</v>
      </c>
      <c r="F347" s="43" t="s">
        <v>1557</v>
      </c>
      <c r="G347" s="8">
        <v>1003</v>
      </c>
      <c r="H347" s="56">
        <v>45901</v>
      </c>
      <c r="I347" s="56">
        <v>45930</v>
      </c>
      <c r="J347" s="56">
        <v>45930</v>
      </c>
      <c r="K347" s="57">
        <v>2268456</v>
      </c>
      <c r="L347" s="28"/>
      <c r="M347" s="57">
        <v>2268456</v>
      </c>
      <c r="N347" s="28"/>
      <c r="O347" s="28"/>
      <c r="P347" s="28"/>
    </row>
    <row r="348" spans="1:16" ht="67.5" customHeight="1">
      <c r="A348" s="43" t="s">
        <v>260</v>
      </c>
      <c r="B348" s="53" t="s">
        <v>214</v>
      </c>
      <c r="C348" s="54" t="s">
        <v>261</v>
      </c>
      <c r="D348" s="55">
        <v>1112632165</v>
      </c>
      <c r="E348" s="8" t="s">
        <v>1534</v>
      </c>
      <c r="F348" s="43" t="s">
        <v>1558</v>
      </c>
      <c r="G348" s="8">
        <v>1004</v>
      </c>
      <c r="H348" s="56">
        <v>45901</v>
      </c>
      <c r="I348" s="56">
        <v>45930</v>
      </c>
      <c r="J348" s="56">
        <v>45930</v>
      </c>
      <c r="K348" s="57">
        <v>2565400</v>
      </c>
      <c r="L348" s="28"/>
      <c r="M348" s="57">
        <v>2565400</v>
      </c>
      <c r="N348" s="28"/>
      <c r="O348" s="28"/>
      <c r="P348" s="28"/>
    </row>
    <row r="349" spans="1:16" ht="67.5" customHeight="1">
      <c r="A349" s="43" t="s">
        <v>262</v>
      </c>
      <c r="B349" s="53" t="s">
        <v>214</v>
      </c>
      <c r="C349" s="54" t="s">
        <v>263</v>
      </c>
      <c r="D349" s="55">
        <v>1113778146</v>
      </c>
      <c r="E349" s="8" t="s">
        <v>1534</v>
      </c>
      <c r="F349" s="43" t="s">
        <v>1559</v>
      </c>
      <c r="G349" s="8">
        <v>1005</v>
      </c>
      <c r="H349" s="56">
        <v>45901</v>
      </c>
      <c r="I349" s="56">
        <v>45930</v>
      </c>
      <c r="J349" s="56">
        <v>45930</v>
      </c>
      <c r="K349" s="57">
        <v>2463800</v>
      </c>
      <c r="L349" s="28"/>
      <c r="M349" s="57">
        <v>2463800</v>
      </c>
      <c r="N349" s="28"/>
      <c r="O349" s="28"/>
      <c r="P349" s="28"/>
    </row>
    <row r="350" spans="1:16" ht="67.5" customHeight="1">
      <c r="A350" s="43" t="s">
        <v>264</v>
      </c>
      <c r="B350" s="53" t="s">
        <v>214</v>
      </c>
      <c r="C350" s="54" t="s">
        <v>265</v>
      </c>
      <c r="D350" s="55">
        <v>1116071093</v>
      </c>
      <c r="E350" s="8" t="s">
        <v>1534</v>
      </c>
      <c r="F350" s="43" t="s">
        <v>1560</v>
      </c>
      <c r="G350" s="8">
        <v>1006</v>
      </c>
      <c r="H350" s="56">
        <v>45901</v>
      </c>
      <c r="I350" s="56">
        <v>45930</v>
      </c>
      <c r="J350" s="56">
        <v>45930</v>
      </c>
      <c r="K350" s="57">
        <v>2717800</v>
      </c>
      <c r="L350" s="28"/>
      <c r="M350" s="57">
        <v>2717800</v>
      </c>
      <c r="N350" s="28"/>
      <c r="O350" s="28"/>
      <c r="P350" s="28"/>
    </row>
    <row r="351" spans="1:16" ht="67.5" customHeight="1">
      <c r="A351" s="43" t="s">
        <v>266</v>
      </c>
      <c r="B351" s="53" t="s">
        <v>267</v>
      </c>
      <c r="C351" s="54" t="s">
        <v>268</v>
      </c>
      <c r="D351" s="55">
        <v>1007753558</v>
      </c>
      <c r="E351" s="43" t="s">
        <v>1499</v>
      </c>
      <c r="F351" s="43" t="s">
        <v>1561</v>
      </c>
      <c r="G351" s="8">
        <v>1007</v>
      </c>
      <c r="H351" s="56">
        <v>45901</v>
      </c>
      <c r="I351" s="56">
        <v>45930</v>
      </c>
      <c r="J351" s="56">
        <v>45930</v>
      </c>
      <c r="K351" s="57">
        <v>2883456</v>
      </c>
      <c r="L351" s="28"/>
      <c r="M351" s="57">
        <v>2883456</v>
      </c>
      <c r="N351" s="28"/>
      <c r="O351" s="28"/>
      <c r="P351" s="28"/>
    </row>
    <row r="352" spans="1:16" ht="67.5" customHeight="1">
      <c r="A352" s="43" t="s">
        <v>269</v>
      </c>
      <c r="B352" s="53" t="s">
        <v>32</v>
      </c>
      <c r="C352" s="54" t="s">
        <v>270</v>
      </c>
      <c r="D352" s="55">
        <v>66872491</v>
      </c>
      <c r="E352" s="43" t="s">
        <v>1562</v>
      </c>
      <c r="F352" s="43" t="s">
        <v>1563</v>
      </c>
      <c r="G352" s="8">
        <v>1008</v>
      </c>
      <c r="H352" s="56">
        <v>45901</v>
      </c>
      <c r="I352" s="56">
        <v>45930</v>
      </c>
      <c r="J352" s="56">
        <v>45930</v>
      </c>
      <c r="K352" s="57">
        <v>2286000</v>
      </c>
      <c r="L352" s="28"/>
      <c r="M352" s="57">
        <v>2286000</v>
      </c>
      <c r="N352" s="28"/>
      <c r="O352" s="28"/>
      <c r="P352" s="28"/>
    </row>
    <row r="353" spans="1:16" ht="67.5" customHeight="1">
      <c r="A353" s="43" t="s">
        <v>31</v>
      </c>
      <c r="B353" s="53" t="s">
        <v>32</v>
      </c>
      <c r="C353" s="54" t="s">
        <v>33</v>
      </c>
      <c r="D353" s="55">
        <v>38793086</v>
      </c>
      <c r="E353" s="8" t="s">
        <v>1562</v>
      </c>
      <c r="F353" s="43" t="s">
        <v>1564</v>
      </c>
      <c r="G353" s="8">
        <v>1009</v>
      </c>
      <c r="H353" s="56">
        <v>45901</v>
      </c>
      <c r="I353" s="56">
        <v>45930</v>
      </c>
      <c r="J353" s="56">
        <v>45930</v>
      </c>
      <c r="K353" s="57">
        <v>2133600</v>
      </c>
      <c r="L353" s="28"/>
      <c r="M353" s="57">
        <v>2133600</v>
      </c>
      <c r="N353" s="28"/>
      <c r="O353" s="28"/>
      <c r="P353" s="28"/>
    </row>
    <row r="354" spans="1:16" ht="67.5" customHeight="1">
      <c r="A354" s="43" t="s">
        <v>271</v>
      </c>
      <c r="B354" s="53" t="s">
        <v>32</v>
      </c>
      <c r="C354" s="54" t="s">
        <v>272</v>
      </c>
      <c r="D354" s="55">
        <v>66873713</v>
      </c>
      <c r="E354" s="8" t="s">
        <v>1562</v>
      </c>
      <c r="F354" s="43" t="s">
        <v>1565</v>
      </c>
      <c r="G354" s="8">
        <v>1010</v>
      </c>
      <c r="H354" s="56">
        <v>45901</v>
      </c>
      <c r="I354" s="56">
        <v>45930</v>
      </c>
      <c r="J354" s="56">
        <v>45930</v>
      </c>
      <c r="K354" s="57">
        <v>2438400</v>
      </c>
      <c r="L354" s="28"/>
      <c r="M354" s="57">
        <v>2438400</v>
      </c>
      <c r="N354" s="28"/>
      <c r="O354" s="28"/>
      <c r="P354" s="28"/>
    </row>
    <row r="355" spans="1:16" ht="67.5" customHeight="1">
      <c r="A355" s="43" t="s">
        <v>273</v>
      </c>
      <c r="B355" s="53" t="s">
        <v>32</v>
      </c>
      <c r="C355" s="54" t="s">
        <v>274</v>
      </c>
      <c r="D355" s="55">
        <v>1113793019</v>
      </c>
      <c r="E355" s="43" t="s">
        <v>1562</v>
      </c>
      <c r="F355" s="43" t="s">
        <v>1566</v>
      </c>
      <c r="G355" s="8">
        <v>1011</v>
      </c>
      <c r="H355" s="56">
        <v>45901</v>
      </c>
      <c r="I355" s="56">
        <v>45930</v>
      </c>
      <c r="J355" s="56">
        <v>45930</v>
      </c>
      <c r="K355" s="57">
        <v>2133600</v>
      </c>
      <c r="L355" s="28"/>
      <c r="M355" s="57">
        <v>2133600</v>
      </c>
      <c r="N355" s="28"/>
      <c r="O355" s="28"/>
      <c r="P355" s="28"/>
    </row>
    <row r="356" spans="1:16" ht="67.5" customHeight="1">
      <c r="A356" s="43" t="s">
        <v>275</v>
      </c>
      <c r="B356" s="53" t="s">
        <v>32</v>
      </c>
      <c r="C356" s="54" t="s">
        <v>276</v>
      </c>
      <c r="D356" s="55">
        <v>1116437726</v>
      </c>
      <c r="E356" s="8" t="s">
        <v>1562</v>
      </c>
      <c r="F356" s="43" t="s">
        <v>1567</v>
      </c>
      <c r="G356" s="8">
        <v>1012</v>
      </c>
      <c r="H356" s="56">
        <v>45901</v>
      </c>
      <c r="I356" s="56">
        <v>45930</v>
      </c>
      <c r="J356" s="56">
        <v>45930</v>
      </c>
      <c r="K356" s="57">
        <v>2133600</v>
      </c>
      <c r="L356" s="28"/>
      <c r="M356" s="57">
        <v>2133600</v>
      </c>
      <c r="N356" s="28"/>
      <c r="O356" s="28"/>
      <c r="P356" s="28"/>
    </row>
    <row r="357" spans="1:16" ht="67.5" customHeight="1">
      <c r="A357" s="43" t="s">
        <v>277</v>
      </c>
      <c r="B357" s="53" t="s">
        <v>32</v>
      </c>
      <c r="C357" s="54" t="s">
        <v>278</v>
      </c>
      <c r="D357" s="55">
        <v>1116435878</v>
      </c>
      <c r="E357" s="43" t="s">
        <v>1562</v>
      </c>
      <c r="F357" s="43" t="s">
        <v>1568</v>
      </c>
      <c r="G357" s="8">
        <v>1013</v>
      </c>
      <c r="H357" s="56">
        <v>45901</v>
      </c>
      <c r="I357" s="56">
        <v>45930</v>
      </c>
      <c r="J357" s="56">
        <v>45930</v>
      </c>
      <c r="K357" s="57">
        <v>2286000</v>
      </c>
      <c r="L357" s="28"/>
      <c r="M357" s="57">
        <v>2286000</v>
      </c>
      <c r="N357" s="28"/>
      <c r="O357" s="28"/>
      <c r="P357" s="28"/>
    </row>
    <row r="358" spans="1:16" ht="67.5" customHeight="1">
      <c r="A358" s="43" t="s">
        <v>34</v>
      </c>
      <c r="B358" s="53" t="s">
        <v>35</v>
      </c>
      <c r="C358" s="54" t="s">
        <v>36</v>
      </c>
      <c r="D358" s="55">
        <v>1113793556</v>
      </c>
      <c r="E358" s="43" t="s">
        <v>1534</v>
      </c>
      <c r="F358" s="43" t="s">
        <v>1569</v>
      </c>
      <c r="G358" s="8">
        <v>1014</v>
      </c>
      <c r="H358" s="56">
        <v>45901</v>
      </c>
      <c r="I358" s="56">
        <v>45930</v>
      </c>
      <c r="J358" s="56">
        <v>45930</v>
      </c>
      <c r="K358" s="57">
        <v>3840000</v>
      </c>
      <c r="L358" s="28"/>
      <c r="M358" s="57">
        <v>3840000</v>
      </c>
      <c r="N358" s="28"/>
      <c r="O358" s="28"/>
      <c r="P358" s="28"/>
    </row>
    <row r="359" spans="1:16" ht="67.5" customHeight="1">
      <c r="A359" s="43" t="s">
        <v>279</v>
      </c>
      <c r="B359" s="53" t="s">
        <v>280</v>
      </c>
      <c r="C359" s="54" t="s">
        <v>281</v>
      </c>
      <c r="D359" s="55">
        <v>1116264608</v>
      </c>
      <c r="E359" s="8" t="s">
        <v>1534</v>
      </c>
      <c r="F359" s="43" t="s">
        <v>1570</v>
      </c>
      <c r="G359" s="8">
        <v>1015</v>
      </c>
      <c r="H359" s="56">
        <v>45901</v>
      </c>
      <c r="I359" s="56">
        <v>45930</v>
      </c>
      <c r="J359" s="56">
        <v>45930</v>
      </c>
      <c r="K359" s="57">
        <v>3600000</v>
      </c>
      <c r="L359" s="28"/>
      <c r="M359" s="57">
        <v>3600000</v>
      </c>
      <c r="N359" s="28"/>
      <c r="O359" s="28"/>
      <c r="P359" s="28"/>
    </row>
    <row r="360" spans="1:16" ht="67.5" customHeight="1">
      <c r="A360" s="43" t="s">
        <v>282</v>
      </c>
      <c r="B360" s="53" t="s">
        <v>29</v>
      </c>
      <c r="C360" s="54" t="s">
        <v>283</v>
      </c>
      <c r="D360" s="55">
        <v>66701201</v>
      </c>
      <c r="E360" s="43" t="s">
        <v>1499</v>
      </c>
      <c r="F360" s="43" t="s">
        <v>1571</v>
      </c>
      <c r="G360" s="8">
        <v>1016</v>
      </c>
      <c r="H360" s="56">
        <v>45902</v>
      </c>
      <c r="I360" s="56">
        <v>45930</v>
      </c>
      <c r="J360" s="56">
        <v>45930</v>
      </c>
      <c r="K360" s="57">
        <v>2286000</v>
      </c>
      <c r="L360" s="28"/>
      <c r="M360" s="57">
        <v>2286000</v>
      </c>
      <c r="N360" s="28"/>
      <c r="O360" s="28"/>
      <c r="P360" s="28"/>
    </row>
    <row r="361" spans="1:16" ht="67.5" customHeight="1">
      <c r="A361" s="43" t="s">
        <v>284</v>
      </c>
      <c r="B361" s="53" t="s">
        <v>285</v>
      </c>
      <c r="C361" s="54" t="s">
        <v>286</v>
      </c>
      <c r="D361" s="55">
        <v>1114120238</v>
      </c>
      <c r="E361" s="30" t="s">
        <v>372</v>
      </c>
      <c r="F361" s="43" t="s">
        <v>1572</v>
      </c>
      <c r="G361" s="8">
        <v>1017</v>
      </c>
      <c r="H361" s="56">
        <v>45902</v>
      </c>
      <c r="I361" s="56">
        <v>45930</v>
      </c>
      <c r="J361" s="56">
        <v>45930</v>
      </c>
      <c r="K361" s="57">
        <v>4000000</v>
      </c>
      <c r="L361" s="28"/>
      <c r="M361" s="57">
        <v>4000000</v>
      </c>
      <c r="N361" s="28"/>
      <c r="O361" s="28"/>
      <c r="P361" s="28"/>
    </row>
    <row r="362" spans="1:16" ht="67.5" customHeight="1">
      <c r="A362" s="43" t="s">
        <v>287</v>
      </c>
      <c r="B362" s="53" t="s">
        <v>35</v>
      </c>
      <c r="C362" s="54" t="s">
        <v>288</v>
      </c>
      <c r="D362" s="55">
        <v>1114209649</v>
      </c>
      <c r="E362" s="43" t="s">
        <v>1534</v>
      </c>
      <c r="F362" s="43" t="s">
        <v>1573</v>
      </c>
      <c r="G362" s="8">
        <v>1018</v>
      </c>
      <c r="H362" s="56">
        <v>45902</v>
      </c>
      <c r="I362" s="56">
        <v>45930</v>
      </c>
      <c r="J362" s="56">
        <v>45930</v>
      </c>
      <c r="K362" s="57">
        <v>3540000</v>
      </c>
      <c r="L362" s="28"/>
      <c r="M362" s="57">
        <v>3540000</v>
      </c>
      <c r="N362" s="28"/>
      <c r="O362" s="28"/>
      <c r="P362" s="28"/>
    </row>
    <row r="363" spans="1:16" ht="67.5" customHeight="1">
      <c r="A363" s="43" t="s">
        <v>289</v>
      </c>
      <c r="B363" s="53" t="s">
        <v>285</v>
      </c>
      <c r="C363" s="54" t="s">
        <v>290</v>
      </c>
      <c r="D363" s="55">
        <v>1113793594</v>
      </c>
      <c r="E363" s="20" t="s">
        <v>372</v>
      </c>
      <c r="F363" s="43" t="s">
        <v>1574</v>
      </c>
      <c r="G363" s="8">
        <v>1019</v>
      </c>
      <c r="H363" s="56">
        <v>45902</v>
      </c>
      <c r="I363" s="56">
        <v>45930</v>
      </c>
      <c r="J363" s="56">
        <v>45930</v>
      </c>
      <c r="K363" s="57">
        <v>4000000</v>
      </c>
      <c r="L363" s="28"/>
      <c r="M363" s="57">
        <v>4000000</v>
      </c>
      <c r="N363" s="28"/>
      <c r="O363" s="28"/>
      <c r="P363" s="28"/>
    </row>
    <row r="364" spans="1:16" ht="67.5" customHeight="1">
      <c r="A364" s="43" t="s">
        <v>291</v>
      </c>
      <c r="B364" s="53" t="s">
        <v>294</v>
      </c>
      <c r="C364" s="54" t="s">
        <v>292</v>
      </c>
      <c r="D364" s="55">
        <v>66871683</v>
      </c>
      <c r="E364" s="43" t="s">
        <v>1562</v>
      </c>
      <c r="F364" s="43" t="s">
        <v>1575</v>
      </c>
      <c r="G364" s="8">
        <v>1020</v>
      </c>
      <c r="H364" s="56">
        <v>45902</v>
      </c>
      <c r="I364" s="56">
        <v>45930</v>
      </c>
      <c r="J364" s="56">
        <v>45930</v>
      </c>
      <c r="K364" s="57">
        <v>2438400</v>
      </c>
      <c r="L364" s="28"/>
      <c r="M364" s="57">
        <v>3498456</v>
      </c>
      <c r="N364" s="28"/>
      <c r="O364" s="28"/>
      <c r="P364" s="28"/>
    </row>
    <row r="365" spans="1:16" ht="67.5" customHeight="1">
      <c r="A365" s="43" t="s">
        <v>293</v>
      </c>
      <c r="B365" s="53" t="s">
        <v>32</v>
      </c>
      <c r="C365" s="54" t="s">
        <v>295</v>
      </c>
      <c r="D365" s="55">
        <v>1116435552</v>
      </c>
      <c r="E365" s="43" t="s">
        <v>1534</v>
      </c>
      <c r="F365" s="43" t="s">
        <v>1576</v>
      </c>
      <c r="G365" s="8">
        <v>1021</v>
      </c>
      <c r="H365" s="56">
        <v>45902</v>
      </c>
      <c r="I365" s="56">
        <v>45930</v>
      </c>
      <c r="J365" s="56">
        <v>45930</v>
      </c>
      <c r="K365" s="57">
        <v>3498456</v>
      </c>
      <c r="L365" s="28"/>
      <c r="M365" s="57">
        <v>2438400</v>
      </c>
      <c r="N365" s="28"/>
      <c r="O365" s="28"/>
      <c r="P365" s="28"/>
    </row>
    <row r="366" spans="1:16" ht="67.5" customHeight="1">
      <c r="A366" s="43" t="s">
        <v>296</v>
      </c>
      <c r="B366" s="53" t="s">
        <v>35</v>
      </c>
      <c r="C366" s="54" t="s">
        <v>297</v>
      </c>
      <c r="D366" s="55">
        <v>1114211708</v>
      </c>
      <c r="E366" s="8" t="s">
        <v>1534</v>
      </c>
      <c r="F366" s="43" t="s">
        <v>1577</v>
      </c>
      <c r="G366" s="8">
        <v>1022</v>
      </c>
      <c r="H366" s="56">
        <v>45902</v>
      </c>
      <c r="I366" s="56">
        <v>45930</v>
      </c>
      <c r="J366" s="56">
        <v>45930</v>
      </c>
      <c r="K366" s="57">
        <v>3840000</v>
      </c>
      <c r="L366" s="28"/>
      <c r="M366" s="57">
        <v>3840000</v>
      </c>
      <c r="N366" s="28"/>
      <c r="O366" s="28"/>
      <c r="P366" s="28"/>
    </row>
    <row r="367" spans="1:16" ht="67.5" customHeight="1">
      <c r="A367" s="43" t="s">
        <v>298</v>
      </c>
      <c r="B367" s="53" t="s">
        <v>35</v>
      </c>
      <c r="C367" s="54" t="s">
        <v>299</v>
      </c>
      <c r="D367" s="55">
        <v>1113792989</v>
      </c>
      <c r="E367" s="43" t="s">
        <v>1534</v>
      </c>
      <c r="F367" s="43" t="s">
        <v>1578</v>
      </c>
      <c r="G367" s="8">
        <v>1023</v>
      </c>
      <c r="H367" s="56">
        <v>45902</v>
      </c>
      <c r="I367" s="56">
        <v>45930</v>
      </c>
      <c r="J367" s="56">
        <v>45930</v>
      </c>
      <c r="K367" s="57">
        <v>3800000</v>
      </c>
      <c r="L367" s="28"/>
      <c r="M367" s="57">
        <v>3800000</v>
      </c>
      <c r="N367" s="28"/>
      <c r="O367" s="28"/>
      <c r="P367" s="28"/>
    </row>
    <row r="368" spans="1:16" ht="67.5" customHeight="1">
      <c r="A368" s="43" t="s">
        <v>300</v>
      </c>
      <c r="B368" s="53" t="s">
        <v>301</v>
      </c>
      <c r="C368" s="54" t="s">
        <v>302</v>
      </c>
      <c r="D368" s="55">
        <v>1116277928</v>
      </c>
      <c r="E368" s="43" t="s">
        <v>1534</v>
      </c>
      <c r="F368" s="43" t="s">
        <v>1579</v>
      </c>
      <c r="G368" s="8">
        <v>1024</v>
      </c>
      <c r="H368" s="56">
        <v>45902</v>
      </c>
      <c r="I368" s="56">
        <v>45930</v>
      </c>
      <c r="J368" s="56">
        <v>45930</v>
      </c>
      <c r="K368" s="57">
        <v>3498456</v>
      </c>
      <c r="L368" s="28"/>
      <c r="M368" s="57">
        <v>3498456</v>
      </c>
      <c r="N368" s="28"/>
      <c r="O368" s="28"/>
      <c r="P368" s="28"/>
    </row>
    <row r="369" spans="1:16" ht="67.5" customHeight="1">
      <c r="A369" s="43" t="s">
        <v>303</v>
      </c>
      <c r="B369" s="53" t="s">
        <v>32</v>
      </c>
      <c r="C369" s="54" t="s">
        <v>304</v>
      </c>
      <c r="D369" s="55">
        <v>66872632</v>
      </c>
      <c r="E369" s="43" t="s">
        <v>1562</v>
      </c>
      <c r="F369" s="43" t="s">
        <v>1580</v>
      </c>
      <c r="G369" s="8">
        <v>1025</v>
      </c>
      <c r="H369" s="56">
        <v>45902</v>
      </c>
      <c r="I369" s="56">
        <v>45930</v>
      </c>
      <c r="J369" s="56">
        <v>45930</v>
      </c>
      <c r="K369" s="57">
        <v>2286000</v>
      </c>
      <c r="L369" s="28"/>
      <c r="M369" s="57">
        <v>2286000</v>
      </c>
      <c r="N369" s="28"/>
      <c r="O369" s="28"/>
      <c r="P369" s="28"/>
    </row>
    <row r="370" spans="1:16" ht="67.5" customHeight="1">
      <c r="A370" s="43" t="s">
        <v>305</v>
      </c>
      <c r="B370" s="53" t="s">
        <v>35</v>
      </c>
      <c r="C370" s="54" t="s">
        <v>306</v>
      </c>
      <c r="D370" s="55">
        <v>1113787803</v>
      </c>
      <c r="E370" s="43" t="s">
        <v>1534</v>
      </c>
      <c r="F370" s="43" t="s">
        <v>1581</v>
      </c>
      <c r="G370" s="8">
        <v>1026</v>
      </c>
      <c r="H370" s="56">
        <v>45902</v>
      </c>
      <c r="I370" s="56">
        <v>45930</v>
      </c>
      <c r="J370" s="56">
        <v>45930</v>
      </c>
      <c r="K370" s="57">
        <v>3840000</v>
      </c>
      <c r="L370" s="28"/>
      <c r="M370" s="57">
        <v>3840000</v>
      </c>
      <c r="N370" s="28"/>
      <c r="O370" s="28"/>
      <c r="P370" s="28"/>
    </row>
    <row r="371" spans="1:16" ht="67.5" customHeight="1">
      <c r="A371" s="43" t="s">
        <v>307</v>
      </c>
      <c r="B371" s="53" t="s">
        <v>32</v>
      </c>
      <c r="C371" s="54" t="s">
        <v>308</v>
      </c>
      <c r="D371" s="55">
        <v>1113786857</v>
      </c>
      <c r="E371" s="43" t="s">
        <v>1562</v>
      </c>
      <c r="F371" s="43" t="s">
        <v>1582</v>
      </c>
      <c r="G371" s="8">
        <v>1027</v>
      </c>
      <c r="H371" s="56">
        <v>45902</v>
      </c>
      <c r="I371" s="56">
        <v>45930</v>
      </c>
      <c r="J371" s="56">
        <v>45930</v>
      </c>
      <c r="K371" s="57">
        <v>2286000</v>
      </c>
      <c r="L371" s="28"/>
      <c r="M371" s="57">
        <v>2286000</v>
      </c>
      <c r="N371" s="28"/>
      <c r="O371" s="28"/>
      <c r="P371" s="28"/>
    </row>
    <row r="372" spans="1:16" ht="67.5" customHeight="1">
      <c r="A372" s="43" t="s">
        <v>309</v>
      </c>
      <c r="B372" s="53" t="s">
        <v>258</v>
      </c>
      <c r="C372" s="54" t="s">
        <v>310</v>
      </c>
      <c r="D372" s="55">
        <v>1113790471</v>
      </c>
      <c r="E372" s="43" t="s">
        <v>1527</v>
      </c>
      <c r="F372" s="43" t="s">
        <v>1583</v>
      </c>
      <c r="G372" s="8">
        <v>1028</v>
      </c>
      <c r="H372" s="56">
        <v>45902</v>
      </c>
      <c r="I372" s="56">
        <v>45930</v>
      </c>
      <c r="J372" s="56">
        <v>45930</v>
      </c>
      <c r="K372" s="57">
        <v>2063456</v>
      </c>
      <c r="L372" s="28"/>
      <c r="M372" s="57">
        <v>2063456</v>
      </c>
      <c r="N372" s="28"/>
      <c r="O372" s="28"/>
      <c r="P372" s="28"/>
    </row>
    <row r="373" spans="1:16" ht="67.5" customHeight="1">
      <c r="A373" s="43" t="s">
        <v>311</v>
      </c>
      <c r="B373" s="53" t="s">
        <v>312</v>
      </c>
      <c r="C373" s="54" t="s">
        <v>313</v>
      </c>
      <c r="D373" s="55">
        <v>94502584</v>
      </c>
      <c r="E373" s="20" t="s">
        <v>361</v>
      </c>
      <c r="F373" s="43" t="s">
        <v>1584</v>
      </c>
      <c r="G373" s="8">
        <v>1029</v>
      </c>
      <c r="H373" s="56">
        <v>45902</v>
      </c>
      <c r="I373" s="56">
        <v>45930</v>
      </c>
      <c r="J373" s="56">
        <v>45930</v>
      </c>
      <c r="K373" s="57">
        <v>2473456</v>
      </c>
      <c r="L373" s="28"/>
      <c r="M373" s="57">
        <v>2473456</v>
      </c>
      <c r="N373" s="28"/>
      <c r="O373" s="28"/>
      <c r="P373" s="28"/>
    </row>
    <row r="374" spans="1:16" ht="67.5" customHeight="1">
      <c r="A374" s="43" t="s">
        <v>314</v>
      </c>
      <c r="B374" s="53" t="s">
        <v>285</v>
      </c>
      <c r="C374" s="54" t="s">
        <v>315</v>
      </c>
      <c r="D374" s="55">
        <v>1114122294</v>
      </c>
      <c r="E374" s="30" t="s">
        <v>372</v>
      </c>
      <c r="F374" s="43" t="s">
        <v>1585</v>
      </c>
      <c r="G374" s="8">
        <v>1030</v>
      </c>
      <c r="H374" s="56">
        <v>45902</v>
      </c>
      <c r="I374" s="56">
        <v>45930</v>
      </c>
      <c r="J374" s="56">
        <v>45930</v>
      </c>
      <c r="K374" s="57">
        <v>4000000</v>
      </c>
      <c r="L374" s="28"/>
      <c r="M374" s="57">
        <v>4000000</v>
      </c>
      <c r="N374" s="28"/>
      <c r="O374" s="28"/>
      <c r="P374" s="28"/>
    </row>
    <row r="375" spans="1:16" ht="67.5" customHeight="1">
      <c r="A375" s="43" t="s">
        <v>316</v>
      </c>
      <c r="B375" s="53" t="s">
        <v>317</v>
      </c>
      <c r="C375" s="54" t="s">
        <v>318</v>
      </c>
      <c r="D375" s="55">
        <v>1053837206</v>
      </c>
      <c r="E375" s="43" t="s">
        <v>1534</v>
      </c>
      <c r="F375" s="43" t="s">
        <v>1586</v>
      </c>
      <c r="G375" s="8">
        <v>1031</v>
      </c>
      <c r="H375" s="56">
        <v>45902</v>
      </c>
      <c r="I375" s="56">
        <v>45930</v>
      </c>
      <c r="J375" s="56">
        <v>45930</v>
      </c>
      <c r="K375" s="57">
        <v>3000000</v>
      </c>
      <c r="L375" s="28"/>
      <c r="M375" s="57">
        <v>3000000</v>
      </c>
      <c r="N375" s="28"/>
      <c r="O375" s="28"/>
      <c r="P375" s="28"/>
    </row>
    <row r="376" spans="1:16" ht="67.5" customHeight="1">
      <c r="A376" s="43" t="s">
        <v>319</v>
      </c>
      <c r="B376" s="53" t="s">
        <v>320</v>
      </c>
      <c r="C376" s="54" t="s">
        <v>321</v>
      </c>
      <c r="D376" s="55">
        <v>1113791296</v>
      </c>
      <c r="E376" s="43" t="s">
        <v>1534</v>
      </c>
      <c r="F376" s="43" t="s">
        <v>1587</v>
      </c>
      <c r="G376" s="8">
        <v>1032</v>
      </c>
      <c r="H376" s="56">
        <v>45902</v>
      </c>
      <c r="I376" s="56">
        <v>45930</v>
      </c>
      <c r="J376" s="56">
        <v>45930</v>
      </c>
      <c r="K376" s="57">
        <v>3498456</v>
      </c>
      <c r="L376" s="28"/>
      <c r="M376" s="57">
        <v>3498456</v>
      </c>
      <c r="N376" s="28"/>
      <c r="O376" s="28"/>
      <c r="P376" s="28"/>
    </row>
    <row r="377" spans="1:16" ht="67.5" customHeight="1">
      <c r="A377" s="43" t="s">
        <v>322</v>
      </c>
      <c r="B377" s="53" t="s">
        <v>323</v>
      </c>
      <c r="C377" s="54" t="s">
        <v>324</v>
      </c>
      <c r="D377" s="55">
        <v>1113785484</v>
      </c>
      <c r="E377" s="8" t="s">
        <v>1499</v>
      </c>
      <c r="F377" s="43" t="s">
        <v>1588</v>
      </c>
      <c r="G377" s="8">
        <v>1033</v>
      </c>
      <c r="H377" s="56">
        <v>45902</v>
      </c>
      <c r="I377" s="56">
        <v>45930</v>
      </c>
      <c r="J377" s="56">
        <v>45930</v>
      </c>
      <c r="K377" s="57">
        <v>2985956</v>
      </c>
      <c r="L377" s="28"/>
      <c r="M377" s="57">
        <v>2985956</v>
      </c>
      <c r="N377" s="28"/>
      <c r="O377" s="28"/>
      <c r="P377" s="28"/>
    </row>
    <row r="378" spans="1:16" ht="67.5" customHeight="1">
      <c r="A378" s="43" t="s">
        <v>325</v>
      </c>
      <c r="B378" s="53" t="s">
        <v>326</v>
      </c>
      <c r="C378" s="54" t="s">
        <v>327</v>
      </c>
      <c r="D378" s="55">
        <v>1112632152</v>
      </c>
      <c r="E378" s="30" t="s">
        <v>372</v>
      </c>
      <c r="F378" s="43" t="s">
        <v>1589</v>
      </c>
      <c r="G378" s="8">
        <v>1034</v>
      </c>
      <c r="H378" s="56">
        <v>45902</v>
      </c>
      <c r="I378" s="56">
        <v>45930</v>
      </c>
      <c r="J378" s="56">
        <v>45930</v>
      </c>
      <c r="K378" s="57">
        <v>4000000</v>
      </c>
      <c r="L378" s="28"/>
      <c r="M378" s="57">
        <v>4000000</v>
      </c>
      <c r="N378" s="28"/>
      <c r="O378" s="28"/>
      <c r="P378" s="28"/>
    </row>
    <row r="379" spans="1:16" ht="67.5" customHeight="1">
      <c r="A379" s="43" t="s">
        <v>328</v>
      </c>
      <c r="B379" s="53" t="s">
        <v>329</v>
      </c>
      <c r="C379" s="54" t="s">
        <v>330</v>
      </c>
      <c r="D379" s="55">
        <v>66872579</v>
      </c>
      <c r="E379" s="8" t="s">
        <v>1499</v>
      </c>
      <c r="F379" s="43" t="s">
        <v>1590</v>
      </c>
      <c r="G379" s="8">
        <v>1035</v>
      </c>
      <c r="H379" s="56">
        <v>45902</v>
      </c>
      <c r="I379" s="56">
        <v>45930</v>
      </c>
      <c r="J379" s="56">
        <v>45930</v>
      </c>
      <c r="K379" s="57">
        <v>3498456</v>
      </c>
      <c r="L379" s="28"/>
      <c r="M379" s="57">
        <v>3498456</v>
      </c>
      <c r="N379" s="28"/>
      <c r="O379" s="28"/>
      <c r="P379" s="28"/>
    </row>
    <row r="380" spans="1:16" ht="67.5" customHeight="1">
      <c r="A380" s="43" t="s">
        <v>331</v>
      </c>
      <c r="B380" s="53" t="s">
        <v>332</v>
      </c>
      <c r="C380" s="54" t="s">
        <v>333</v>
      </c>
      <c r="D380" s="55">
        <v>1113789643</v>
      </c>
      <c r="E380" s="8" t="s">
        <v>1499</v>
      </c>
      <c r="F380" s="43" t="s">
        <v>1591</v>
      </c>
      <c r="G380" s="8">
        <v>1036</v>
      </c>
      <c r="H380" s="56">
        <v>45902</v>
      </c>
      <c r="I380" s="56">
        <v>45930</v>
      </c>
      <c r="J380" s="56">
        <v>45930</v>
      </c>
      <c r="K380" s="57">
        <v>2473456</v>
      </c>
      <c r="L380" s="28"/>
      <c r="M380" s="57">
        <v>2473456</v>
      </c>
      <c r="N380" s="28"/>
      <c r="O380" s="28"/>
      <c r="P380" s="28"/>
    </row>
    <row r="381" spans="1:16" ht="67.5" customHeight="1">
      <c r="A381" s="43" t="s">
        <v>334</v>
      </c>
      <c r="B381" s="53" t="s">
        <v>335</v>
      </c>
      <c r="C381" s="54" t="s">
        <v>336</v>
      </c>
      <c r="D381" s="55">
        <v>1113778556</v>
      </c>
      <c r="E381" s="8" t="s">
        <v>1534</v>
      </c>
      <c r="F381" s="43" t="s">
        <v>1592</v>
      </c>
      <c r="G381" s="8">
        <v>1037</v>
      </c>
      <c r="H381" s="56">
        <v>45902</v>
      </c>
      <c r="I381" s="56">
        <v>45930</v>
      </c>
      <c r="J381" s="56">
        <v>45930</v>
      </c>
      <c r="K381" s="57">
        <v>2565400</v>
      </c>
      <c r="L381" s="28"/>
      <c r="M381" s="57">
        <v>2565400</v>
      </c>
      <c r="N381" s="28"/>
      <c r="O381" s="28"/>
      <c r="P381" s="28"/>
    </row>
    <row r="382" spans="1:16" ht="67.5" customHeight="1">
      <c r="A382" s="43" t="s">
        <v>337</v>
      </c>
      <c r="B382" s="53" t="s">
        <v>338</v>
      </c>
      <c r="C382" s="54" t="s">
        <v>339</v>
      </c>
      <c r="D382" s="55">
        <v>66871013</v>
      </c>
      <c r="E382" s="8" t="s">
        <v>1534</v>
      </c>
      <c r="F382" s="43" t="s">
        <v>1593</v>
      </c>
      <c r="G382" s="8">
        <v>1038</v>
      </c>
      <c r="H382" s="56">
        <v>45902</v>
      </c>
      <c r="I382" s="56">
        <v>45930</v>
      </c>
      <c r="J382" s="56">
        <v>45930</v>
      </c>
      <c r="K382" s="57">
        <v>2678456</v>
      </c>
      <c r="L382" s="28"/>
      <c r="M382" s="57">
        <v>2678456</v>
      </c>
      <c r="N382" s="28"/>
      <c r="O382" s="28"/>
      <c r="P382" s="28"/>
    </row>
    <row r="383" spans="1:16" ht="67.5" customHeight="1">
      <c r="A383" s="43" t="s">
        <v>340</v>
      </c>
      <c r="B383" s="53" t="s">
        <v>341</v>
      </c>
      <c r="C383" s="54" t="s">
        <v>342</v>
      </c>
      <c r="D383" s="55">
        <v>1113786004</v>
      </c>
      <c r="E383" s="8" t="s">
        <v>1499</v>
      </c>
      <c r="F383" s="43" t="s">
        <v>1594</v>
      </c>
      <c r="G383" s="8">
        <v>1039</v>
      </c>
      <c r="H383" s="56">
        <v>45902</v>
      </c>
      <c r="I383" s="56">
        <v>45930</v>
      </c>
      <c r="J383" s="56">
        <v>45930</v>
      </c>
      <c r="K383" s="57">
        <v>2473456</v>
      </c>
      <c r="L383" s="28"/>
      <c r="M383" s="57">
        <v>2473456</v>
      </c>
      <c r="N383" s="28"/>
      <c r="O383" s="28"/>
      <c r="P383" s="28"/>
    </row>
    <row r="384" spans="1:16" ht="67.5" customHeight="1">
      <c r="A384" s="43" t="s">
        <v>343</v>
      </c>
      <c r="B384" s="53" t="s">
        <v>235</v>
      </c>
      <c r="C384" s="54" t="s">
        <v>344</v>
      </c>
      <c r="D384" s="55">
        <v>67026673</v>
      </c>
      <c r="E384" s="8" t="s">
        <v>1527</v>
      </c>
      <c r="F384" s="43" t="s">
        <v>1595</v>
      </c>
      <c r="G384" s="8">
        <v>1040</v>
      </c>
      <c r="H384" s="56">
        <v>45908</v>
      </c>
      <c r="I384" s="56">
        <v>45930</v>
      </c>
      <c r="J384" s="56">
        <v>45930</v>
      </c>
      <c r="K384" s="57">
        <v>3293456</v>
      </c>
      <c r="L384" s="28"/>
      <c r="M384" s="57">
        <v>3293456</v>
      </c>
      <c r="N384" s="28"/>
      <c r="O384" s="28"/>
      <c r="P384" s="28"/>
    </row>
    <row r="385" spans="1:16" ht="67.5" customHeight="1">
      <c r="A385" s="43" t="s">
        <v>37</v>
      </c>
      <c r="B385" s="53" t="s">
        <v>32</v>
      </c>
      <c r="C385" s="54" t="s">
        <v>38</v>
      </c>
      <c r="D385" s="55">
        <v>1113790335</v>
      </c>
      <c r="E385" s="8" t="s">
        <v>1562</v>
      </c>
      <c r="F385" s="43" t="s">
        <v>1596</v>
      </c>
      <c r="G385" s="8">
        <v>1041</v>
      </c>
      <c r="H385" s="56">
        <v>45909</v>
      </c>
      <c r="I385" s="56">
        <v>45930</v>
      </c>
      <c r="J385" s="56">
        <v>45930</v>
      </c>
      <c r="K385" s="57">
        <v>1524000</v>
      </c>
      <c r="L385" s="28"/>
      <c r="M385" s="57">
        <v>1524000</v>
      </c>
      <c r="N385" s="28"/>
      <c r="O385" s="28"/>
      <c r="P385" s="28"/>
    </row>
    <row r="386" spans="1:16" ht="67.5" customHeight="1">
      <c r="A386" s="43" t="s">
        <v>1597</v>
      </c>
      <c r="B386" s="53" t="s">
        <v>1598</v>
      </c>
      <c r="C386" s="54" t="s">
        <v>1599</v>
      </c>
      <c r="D386" s="55">
        <v>1026257207</v>
      </c>
      <c r="E386" s="30" t="s">
        <v>353</v>
      </c>
      <c r="F386" s="43" t="s">
        <v>1600</v>
      </c>
      <c r="G386" s="8">
        <v>1042</v>
      </c>
      <c r="H386" s="56">
        <v>45909</v>
      </c>
      <c r="I386" s="56">
        <v>46022</v>
      </c>
      <c r="J386" s="56">
        <v>46022</v>
      </c>
      <c r="K386" s="57">
        <v>70680000</v>
      </c>
      <c r="L386" s="28"/>
      <c r="M386" s="57">
        <v>70680000</v>
      </c>
      <c r="N386" s="28"/>
      <c r="O386" s="28"/>
      <c r="P386" s="28"/>
    </row>
    <row r="387" spans="1:16" ht="67.5" customHeight="1">
      <c r="A387" s="43" t="s">
        <v>1601</v>
      </c>
      <c r="B387" s="53" t="s">
        <v>1602</v>
      </c>
      <c r="C387" s="54" t="s">
        <v>1603</v>
      </c>
      <c r="D387" s="55">
        <v>1114819329</v>
      </c>
      <c r="E387" s="30" t="s">
        <v>353</v>
      </c>
      <c r="F387" s="43" t="s">
        <v>1604</v>
      </c>
      <c r="G387" s="8">
        <v>1043</v>
      </c>
      <c r="H387" s="56">
        <v>45909</v>
      </c>
      <c r="I387" s="56">
        <v>46022</v>
      </c>
      <c r="J387" s="56">
        <v>46022</v>
      </c>
      <c r="K387" s="57">
        <v>70680000</v>
      </c>
      <c r="L387" s="28"/>
      <c r="M387" s="57">
        <v>70680000</v>
      </c>
      <c r="N387" s="28"/>
      <c r="O387" s="28"/>
      <c r="P387" s="28"/>
    </row>
    <row r="388" spans="1:16" ht="67.5" customHeight="1">
      <c r="A388" s="43" t="s">
        <v>1605</v>
      </c>
      <c r="B388" s="53" t="s">
        <v>1606</v>
      </c>
      <c r="C388" s="54" t="s">
        <v>1607</v>
      </c>
      <c r="D388" s="55">
        <v>1022418772</v>
      </c>
      <c r="E388" s="30" t="s">
        <v>353</v>
      </c>
      <c r="F388" s="43" t="s">
        <v>1608</v>
      </c>
      <c r="G388" s="8">
        <v>1044</v>
      </c>
      <c r="H388" s="56">
        <v>45909</v>
      </c>
      <c r="I388" s="56">
        <v>46022</v>
      </c>
      <c r="J388" s="56">
        <v>46022</v>
      </c>
      <c r="K388" s="57">
        <v>70680000</v>
      </c>
      <c r="L388" s="28"/>
      <c r="M388" s="57">
        <v>70680000</v>
      </c>
      <c r="N388" s="28"/>
      <c r="O388" s="28"/>
      <c r="P388" s="28"/>
    </row>
    <row r="389" spans="1:16" ht="67.5" customHeight="1">
      <c r="A389" s="43" t="s">
        <v>1609</v>
      </c>
      <c r="B389" s="53" t="s">
        <v>1610</v>
      </c>
      <c r="C389" s="54" t="s">
        <v>415</v>
      </c>
      <c r="D389" s="55" t="s">
        <v>416</v>
      </c>
      <c r="E389" s="30" t="s">
        <v>361</v>
      </c>
      <c r="F389" s="43" t="s">
        <v>1611</v>
      </c>
      <c r="G389" s="8">
        <v>1045</v>
      </c>
      <c r="H389" s="56">
        <v>45911</v>
      </c>
      <c r="I389" s="56">
        <v>46022</v>
      </c>
      <c r="J389" s="56">
        <v>46022</v>
      </c>
      <c r="K389" s="57">
        <v>594337266</v>
      </c>
      <c r="L389" s="28"/>
      <c r="M389" s="57">
        <v>594337266</v>
      </c>
      <c r="N389" s="28"/>
      <c r="O389" s="28"/>
      <c r="P389" s="28"/>
    </row>
    <row r="390" spans="1:16" ht="67.5" customHeight="1">
      <c r="A390" s="43" t="s">
        <v>345</v>
      </c>
      <c r="B390" s="53" t="s">
        <v>335</v>
      </c>
      <c r="C390" s="54" t="s">
        <v>346</v>
      </c>
      <c r="D390" s="55">
        <v>1113790873</v>
      </c>
      <c r="E390" s="8" t="s">
        <v>1534</v>
      </c>
      <c r="F390" s="43" t="s">
        <v>1612</v>
      </c>
      <c r="G390" s="8">
        <v>1046</v>
      </c>
      <c r="H390" s="56">
        <v>45911</v>
      </c>
      <c r="I390" s="56">
        <v>45930</v>
      </c>
      <c r="J390" s="56">
        <v>45930</v>
      </c>
      <c r="K390" s="57">
        <v>2413000</v>
      </c>
      <c r="L390" s="28"/>
      <c r="M390" s="57">
        <v>2413000</v>
      </c>
      <c r="N390" s="28"/>
      <c r="O390" s="28"/>
      <c r="P390" s="28"/>
    </row>
    <row r="391" spans="1:16" ht="67.5" customHeight="1">
      <c r="A391" s="43" t="s">
        <v>1613</v>
      </c>
      <c r="B391" s="53" t="s">
        <v>1614</v>
      </c>
      <c r="C391" s="54" t="s">
        <v>1615</v>
      </c>
      <c r="D391" s="55">
        <v>1112625705</v>
      </c>
      <c r="E391" s="30" t="s">
        <v>353</v>
      </c>
      <c r="F391" s="43" t="s">
        <v>1616</v>
      </c>
      <c r="G391" s="8">
        <v>1047</v>
      </c>
      <c r="H391" s="56">
        <v>45912</v>
      </c>
      <c r="I391" s="56">
        <v>46022</v>
      </c>
      <c r="J391" s="56">
        <v>46022</v>
      </c>
      <c r="K391" s="57">
        <v>70680000</v>
      </c>
      <c r="L391" s="28"/>
      <c r="M391" s="57">
        <v>70680000</v>
      </c>
      <c r="N391" s="28"/>
      <c r="O391" s="28"/>
      <c r="P391" s="28"/>
    </row>
    <row r="392" spans="1:16" ht="67.5" customHeight="1">
      <c r="A392" s="43" t="s">
        <v>1617</v>
      </c>
      <c r="B392" s="53" t="s">
        <v>1618</v>
      </c>
      <c r="C392" s="54" t="s">
        <v>1615</v>
      </c>
      <c r="D392" s="55">
        <v>1112625705</v>
      </c>
      <c r="E392" s="30" t="s">
        <v>353</v>
      </c>
      <c r="F392" s="43" t="s">
        <v>1619</v>
      </c>
      <c r="G392" s="8">
        <v>1048</v>
      </c>
      <c r="H392" s="56">
        <v>45912</v>
      </c>
      <c r="I392" s="56">
        <v>46022</v>
      </c>
      <c r="J392" s="56">
        <v>46022</v>
      </c>
      <c r="K392" s="57">
        <v>70680000</v>
      </c>
      <c r="L392" s="28"/>
      <c r="M392" s="57">
        <v>70680000</v>
      </c>
      <c r="N392" s="28"/>
      <c r="O392" s="28"/>
      <c r="P392" s="28"/>
    </row>
    <row r="393" spans="1:16" ht="67.5" customHeight="1">
      <c r="A393" s="43" t="s">
        <v>1620</v>
      </c>
      <c r="B393" s="53" t="s">
        <v>1621</v>
      </c>
      <c r="C393" s="33" t="s">
        <v>471</v>
      </c>
      <c r="D393" s="36" t="s">
        <v>472</v>
      </c>
      <c r="E393" s="30" t="s">
        <v>361</v>
      </c>
      <c r="F393" s="19" t="s">
        <v>1622</v>
      </c>
      <c r="G393" s="8">
        <v>1049</v>
      </c>
      <c r="H393" s="56">
        <v>45915</v>
      </c>
      <c r="I393" s="56">
        <v>46022</v>
      </c>
      <c r="J393" s="56">
        <v>46022</v>
      </c>
      <c r="K393" s="57">
        <v>108260000</v>
      </c>
      <c r="L393" s="28"/>
      <c r="M393" s="57">
        <v>108260000</v>
      </c>
      <c r="N393" s="28"/>
      <c r="O393" s="28"/>
      <c r="P393" s="28"/>
    </row>
    <row r="394" spans="1:16" ht="67.5" customHeight="1">
      <c r="A394" s="43" t="s">
        <v>347</v>
      </c>
      <c r="B394" s="53" t="s">
        <v>8</v>
      </c>
      <c r="C394" s="33" t="s">
        <v>348</v>
      </c>
      <c r="D394" s="36">
        <v>66871919</v>
      </c>
      <c r="E394" s="20" t="s">
        <v>361</v>
      </c>
      <c r="F394" s="19" t="s">
        <v>1623</v>
      </c>
      <c r="G394" s="8">
        <v>1050</v>
      </c>
      <c r="H394" s="56">
        <v>45915</v>
      </c>
      <c r="I394" s="56">
        <v>45930</v>
      </c>
      <c r="J394" s="56">
        <v>45930</v>
      </c>
      <c r="K394" s="57">
        <v>2098702</v>
      </c>
      <c r="L394" s="28"/>
      <c r="M394" s="57">
        <v>2098702</v>
      </c>
      <c r="N394" s="28"/>
      <c r="O394" s="28"/>
      <c r="P394" s="28"/>
    </row>
    <row r="395" spans="1:16" ht="67.5" customHeight="1">
      <c r="A395" s="43" t="s">
        <v>349</v>
      </c>
      <c r="B395" s="53" t="s">
        <v>40</v>
      </c>
      <c r="C395" s="33" t="s">
        <v>350</v>
      </c>
      <c r="D395" s="36">
        <v>1113787150</v>
      </c>
      <c r="E395" s="30" t="s">
        <v>1438</v>
      </c>
      <c r="F395" s="19" t="s">
        <v>1624</v>
      </c>
      <c r="G395" s="8">
        <v>1051</v>
      </c>
      <c r="H395" s="56">
        <v>45917</v>
      </c>
      <c r="I395" s="56">
        <v>45930</v>
      </c>
      <c r="J395" s="56">
        <v>45930</v>
      </c>
      <c r="K395" s="57">
        <v>2208402</v>
      </c>
      <c r="L395" s="28"/>
      <c r="M395" s="57">
        <v>2208402</v>
      </c>
      <c r="N395" s="28"/>
      <c r="O395" s="28"/>
      <c r="P395" s="28"/>
    </row>
    <row r="396" spans="1:16" ht="67.5" customHeight="1">
      <c r="A396" s="43" t="s">
        <v>1625</v>
      </c>
      <c r="B396" s="53" t="s">
        <v>1626</v>
      </c>
      <c r="C396" s="33" t="s">
        <v>1627</v>
      </c>
      <c r="D396" s="36">
        <v>66802161</v>
      </c>
      <c r="E396" s="30" t="s">
        <v>361</v>
      </c>
      <c r="F396" s="19" t="s">
        <v>1628</v>
      </c>
      <c r="G396" s="22" t="s">
        <v>1629</v>
      </c>
      <c r="H396" s="56">
        <v>45919</v>
      </c>
      <c r="I396" s="56">
        <v>46022</v>
      </c>
      <c r="J396" s="56">
        <v>46022</v>
      </c>
      <c r="K396" s="57">
        <v>10500000</v>
      </c>
      <c r="L396" s="28"/>
      <c r="M396" s="57">
        <v>10500000</v>
      </c>
      <c r="N396" s="28"/>
      <c r="O396" s="28"/>
      <c r="P396" s="28"/>
    </row>
    <row r="397" spans="1:16" ht="67.5" customHeight="1">
      <c r="A397" s="43" t="s">
        <v>1630</v>
      </c>
      <c r="B397" s="20" t="s">
        <v>1398</v>
      </c>
      <c r="C397" s="33" t="s">
        <v>1631</v>
      </c>
      <c r="D397" s="36">
        <v>1114889117</v>
      </c>
      <c r="E397" s="30" t="s">
        <v>353</v>
      </c>
      <c r="F397" s="19" t="s">
        <v>1632</v>
      </c>
      <c r="G397" s="22" t="s">
        <v>1633</v>
      </c>
      <c r="H397" s="56">
        <v>45930</v>
      </c>
      <c r="I397" s="56">
        <v>46022</v>
      </c>
      <c r="J397" s="56">
        <v>46022</v>
      </c>
      <c r="K397" s="57">
        <v>11785914</v>
      </c>
      <c r="L397" s="28"/>
      <c r="M397" s="57">
        <v>11785914</v>
      </c>
      <c r="N397" s="28"/>
      <c r="O397" s="28"/>
      <c r="P397" s="28"/>
    </row>
    <row r="398" spans="1:16" ht="67.5" customHeight="1">
      <c r="A398" s="43" t="s">
        <v>1634</v>
      </c>
      <c r="B398" s="53" t="s">
        <v>1635</v>
      </c>
      <c r="C398" s="33" t="s">
        <v>1213</v>
      </c>
      <c r="D398" s="36">
        <v>1113788178</v>
      </c>
      <c r="E398" s="30" t="s">
        <v>353</v>
      </c>
      <c r="F398" s="19" t="s">
        <v>1636</v>
      </c>
      <c r="G398" s="22" t="s">
        <v>1637</v>
      </c>
      <c r="H398" s="56">
        <v>45930</v>
      </c>
      <c r="I398" s="56">
        <v>46022</v>
      </c>
      <c r="J398" s="56">
        <v>46022</v>
      </c>
      <c r="K398" s="57">
        <v>7500000</v>
      </c>
      <c r="L398" s="28"/>
      <c r="M398" s="57">
        <v>7500000</v>
      </c>
      <c r="N398" s="28"/>
      <c r="O398" s="28"/>
      <c r="P398" s="28"/>
    </row>
    <row r="399" spans="1:16" ht="67.5" customHeight="1">
      <c r="A399" s="43" t="s">
        <v>1638</v>
      </c>
      <c r="B399" s="53" t="s">
        <v>1635</v>
      </c>
      <c r="C399" s="33" t="s">
        <v>1639</v>
      </c>
      <c r="D399" s="36">
        <v>1007820582</v>
      </c>
      <c r="E399" s="20" t="s">
        <v>353</v>
      </c>
      <c r="F399" s="19" t="s">
        <v>1640</v>
      </c>
      <c r="G399" s="8">
        <v>1117</v>
      </c>
      <c r="H399" s="56">
        <v>45931</v>
      </c>
      <c r="I399" s="56">
        <v>46022</v>
      </c>
      <c r="J399" s="56">
        <v>46022</v>
      </c>
      <c r="K399" s="57">
        <v>7500000</v>
      </c>
      <c r="L399" s="28"/>
      <c r="M399" s="57">
        <v>7500000</v>
      </c>
      <c r="N399" s="28"/>
      <c r="O399" s="28"/>
      <c r="P399" s="48"/>
    </row>
    <row r="400" spans="1:16" ht="67.5" customHeight="1">
      <c r="A400" s="43" t="s">
        <v>1641</v>
      </c>
      <c r="B400" s="53" t="s">
        <v>1642</v>
      </c>
      <c r="C400" s="33" t="s">
        <v>1643</v>
      </c>
      <c r="D400" s="36" t="s">
        <v>467</v>
      </c>
      <c r="E400" s="20" t="s">
        <v>353</v>
      </c>
      <c r="F400" s="19" t="s">
        <v>1644</v>
      </c>
      <c r="G400" s="8">
        <v>1118</v>
      </c>
      <c r="H400" s="56">
        <v>45931</v>
      </c>
      <c r="I400" s="56">
        <v>46022</v>
      </c>
      <c r="J400" s="56">
        <v>46022</v>
      </c>
      <c r="K400" s="57">
        <v>45000000</v>
      </c>
      <c r="L400" s="28"/>
      <c r="M400" s="57">
        <v>45000000</v>
      </c>
      <c r="N400" s="28"/>
      <c r="O400" s="28"/>
      <c r="P400" s="28"/>
    </row>
    <row r="401" spans="1:16" ht="67.5" customHeight="1">
      <c r="A401" s="59" t="s">
        <v>1645</v>
      </c>
      <c r="B401" s="59" t="s">
        <v>59</v>
      </c>
      <c r="C401" s="59" t="s">
        <v>60</v>
      </c>
      <c r="D401" s="60">
        <v>1113783043</v>
      </c>
      <c r="E401" s="59" t="s">
        <v>1438</v>
      </c>
      <c r="F401" s="59" t="s">
        <v>1646</v>
      </c>
      <c r="G401" s="61">
        <v>1119</v>
      </c>
      <c r="H401" s="56">
        <v>45931</v>
      </c>
      <c r="I401" s="56">
        <v>46022</v>
      </c>
      <c r="J401" s="56">
        <v>46022</v>
      </c>
      <c r="K401" s="57">
        <v>7283406</v>
      </c>
      <c r="L401" s="28"/>
      <c r="M401" s="57">
        <v>7283406</v>
      </c>
      <c r="N401" s="28"/>
      <c r="O401" s="28"/>
      <c r="P401" s="28"/>
    </row>
    <row r="402" spans="1:16" ht="67.5" customHeight="1">
      <c r="A402" s="59" t="s">
        <v>1647</v>
      </c>
      <c r="B402" s="59" t="s">
        <v>54</v>
      </c>
      <c r="C402" s="59" t="s">
        <v>57</v>
      </c>
      <c r="D402" s="60">
        <v>1113790795</v>
      </c>
      <c r="E402" s="59" t="s">
        <v>361</v>
      </c>
      <c r="F402" s="59" t="s">
        <v>1648</v>
      </c>
      <c r="G402" s="61">
        <v>1120</v>
      </c>
      <c r="H402" s="56">
        <v>45931</v>
      </c>
      <c r="I402" s="56">
        <v>46022</v>
      </c>
      <c r="J402" s="56">
        <v>46022</v>
      </c>
      <c r="K402" s="57">
        <v>6625205</v>
      </c>
      <c r="L402" s="28"/>
      <c r="M402" s="57">
        <v>6625205</v>
      </c>
      <c r="N402" s="28"/>
      <c r="O402" s="28"/>
      <c r="P402" s="28"/>
    </row>
    <row r="403" spans="1:16" ht="67.5" customHeight="1">
      <c r="A403" s="59" t="s">
        <v>1649</v>
      </c>
      <c r="B403" s="59" t="s">
        <v>93</v>
      </c>
      <c r="C403" s="59" t="s">
        <v>94</v>
      </c>
      <c r="D403" s="60">
        <v>16552183</v>
      </c>
      <c r="E403" s="59" t="s">
        <v>361</v>
      </c>
      <c r="F403" s="59" t="s">
        <v>1650</v>
      </c>
      <c r="G403" s="61">
        <v>1121</v>
      </c>
      <c r="H403" s="56">
        <v>45931</v>
      </c>
      <c r="I403" s="56">
        <v>46022</v>
      </c>
      <c r="J403" s="56">
        <v>46022</v>
      </c>
      <c r="K403" s="57">
        <v>8599805</v>
      </c>
      <c r="L403" s="28"/>
      <c r="M403" s="57">
        <v>8599805</v>
      </c>
      <c r="N403" s="28"/>
      <c r="O403" s="28"/>
      <c r="P403" s="28"/>
    </row>
    <row r="404" spans="1:16" ht="67.5" customHeight="1">
      <c r="A404" s="59" t="s">
        <v>1651</v>
      </c>
      <c r="B404" s="61" t="s">
        <v>182</v>
      </c>
      <c r="C404" s="59" t="s">
        <v>187</v>
      </c>
      <c r="D404" s="60">
        <v>1113778266</v>
      </c>
      <c r="E404" s="59" t="s">
        <v>361</v>
      </c>
      <c r="F404" s="59" t="s">
        <v>1652</v>
      </c>
      <c r="G404" s="61">
        <v>1122</v>
      </c>
      <c r="H404" s="56">
        <v>45931</v>
      </c>
      <c r="I404" s="56">
        <v>46022</v>
      </c>
      <c r="J404" s="56">
        <v>46022</v>
      </c>
      <c r="K404" s="57">
        <v>7420368</v>
      </c>
      <c r="L404" s="28"/>
      <c r="M404" s="57">
        <v>7420368</v>
      </c>
      <c r="N404" s="28"/>
      <c r="O404" s="28"/>
      <c r="P404" s="28"/>
    </row>
    <row r="405" spans="1:16" ht="67.5" customHeight="1">
      <c r="A405" s="59" t="s">
        <v>1653</v>
      </c>
      <c r="B405" s="59" t="s">
        <v>177</v>
      </c>
      <c r="C405" s="59" t="s">
        <v>178</v>
      </c>
      <c r="D405" s="60">
        <v>16551512</v>
      </c>
      <c r="E405" s="59" t="s">
        <v>361</v>
      </c>
      <c r="F405" s="59" t="s">
        <v>1654</v>
      </c>
      <c r="G405" s="61">
        <v>1123</v>
      </c>
      <c r="H405" s="56">
        <v>45931</v>
      </c>
      <c r="I405" s="56">
        <v>46022</v>
      </c>
      <c r="J405" s="56">
        <v>46022</v>
      </c>
      <c r="K405" s="57">
        <v>7420368</v>
      </c>
      <c r="L405" s="28"/>
      <c r="M405" s="57">
        <v>7420368</v>
      </c>
      <c r="N405" s="28"/>
      <c r="O405" s="28"/>
      <c r="P405" s="28"/>
    </row>
    <row r="406" spans="1:16" ht="67.5" customHeight="1">
      <c r="A406" s="59" t="s">
        <v>1655</v>
      </c>
      <c r="B406" s="59" t="s">
        <v>182</v>
      </c>
      <c r="C406" s="59" t="s">
        <v>185</v>
      </c>
      <c r="D406" s="60">
        <v>1112106293</v>
      </c>
      <c r="E406" s="59" t="s">
        <v>361</v>
      </c>
      <c r="F406" s="61" t="s">
        <v>1656</v>
      </c>
      <c r="G406" s="61">
        <v>1124</v>
      </c>
      <c r="H406" s="58">
        <v>45931</v>
      </c>
      <c r="I406" s="56">
        <v>46022</v>
      </c>
      <c r="J406" s="56">
        <v>46022</v>
      </c>
      <c r="K406" s="57">
        <v>7420368</v>
      </c>
      <c r="L406" s="28"/>
      <c r="M406" s="57">
        <v>7420368</v>
      </c>
      <c r="N406" s="28"/>
      <c r="O406" s="28"/>
      <c r="P406" s="28"/>
    </row>
    <row r="407" spans="1:16" ht="67.5" customHeight="1">
      <c r="A407" s="59" t="s">
        <v>1657</v>
      </c>
      <c r="B407" s="59" t="s">
        <v>182</v>
      </c>
      <c r="C407" s="59" t="s">
        <v>196</v>
      </c>
      <c r="D407" s="60">
        <v>29774964</v>
      </c>
      <c r="E407" s="59" t="s">
        <v>361</v>
      </c>
      <c r="F407" s="61" t="s">
        <v>1658</v>
      </c>
      <c r="G407" s="61">
        <v>1125</v>
      </c>
      <c r="H407" s="58">
        <v>45931</v>
      </c>
      <c r="I407" s="56">
        <v>46022</v>
      </c>
      <c r="J407" s="56">
        <v>46022</v>
      </c>
      <c r="K407" s="57">
        <v>7420368</v>
      </c>
      <c r="L407" s="28"/>
      <c r="M407" s="57">
        <v>7420368</v>
      </c>
      <c r="N407" s="28"/>
      <c r="O407" s="28"/>
      <c r="P407" s="28"/>
    </row>
    <row r="408" spans="1:16" ht="67.5" customHeight="1">
      <c r="A408" s="59" t="s">
        <v>1659</v>
      </c>
      <c r="B408" s="59" t="s">
        <v>59</v>
      </c>
      <c r="C408" s="59" t="s">
        <v>64</v>
      </c>
      <c r="D408" s="60">
        <v>1113787540</v>
      </c>
      <c r="E408" s="59" t="s">
        <v>1438</v>
      </c>
      <c r="F408" s="61" t="s">
        <v>1660</v>
      </c>
      <c r="G408" s="61">
        <v>1126</v>
      </c>
      <c r="H408" s="58">
        <v>45931</v>
      </c>
      <c r="I408" s="56">
        <v>46022</v>
      </c>
      <c r="J408" s="56">
        <v>46022</v>
      </c>
      <c r="K408" s="57">
        <v>7283406</v>
      </c>
      <c r="L408" s="28"/>
      <c r="M408" s="57">
        <v>7283406</v>
      </c>
      <c r="N408" s="28"/>
      <c r="O408" s="28"/>
      <c r="P408" s="28"/>
    </row>
    <row r="409" spans="1:16" ht="67.5" customHeight="1">
      <c r="A409" s="59" t="s">
        <v>1661</v>
      </c>
      <c r="B409" s="59" t="s">
        <v>177</v>
      </c>
      <c r="C409" s="59" t="s">
        <v>180</v>
      </c>
      <c r="D409" s="60">
        <v>16549122</v>
      </c>
      <c r="E409" s="59" t="s">
        <v>361</v>
      </c>
      <c r="F409" s="61" t="s">
        <v>1662</v>
      </c>
      <c r="G409" s="61">
        <v>1127</v>
      </c>
      <c r="H409" s="58">
        <v>45931</v>
      </c>
      <c r="I409" s="56">
        <v>46022</v>
      </c>
      <c r="J409" s="56">
        <v>46022</v>
      </c>
      <c r="K409" s="57">
        <v>7420368</v>
      </c>
      <c r="L409" s="28"/>
      <c r="M409" s="57">
        <v>7420368</v>
      </c>
      <c r="N409" s="28"/>
      <c r="O409" s="28"/>
      <c r="P409" s="28"/>
    </row>
    <row r="410" spans="1:16" ht="67.5" customHeight="1">
      <c r="A410" s="59" t="s">
        <v>1663</v>
      </c>
      <c r="B410" s="59" t="s">
        <v>40</v>
      </c>
      <c r="C410" s="59" t="s">
        <v>41</v>
      </c>
      <c r="D410" s="60">
        <v>1121885655</v>
      </c>
      <c r="E410" s="59" t="s">
        <v>1438</v>
      </c>
      <c r="F410" s="59" t="s">
        <v>1664</v>
      </c>
      <c r="G410" s="61">
        <v>1128</v>
      </c>
      <c r="H410" s="58">
        <v>45931</v>
      </c>
      <c r="I410" s="56">
        <v>46022</v>
      </c>
      <c r="J410" s="56">
        <v>46022</v>
      </c>
      <c r="K410" s="57">
        <v>6625205</v>
      </c>
      <c r="L410" s="28"/>
      <c r="M410" s="57">
        <v>6625205</v>
      </c>
      <c r="N410" s="28"/>
      <c r="O410" s="28"/>
      <c r="P410" s="28"/>
    </row>
    <row r="411" spans="1:16" ht="67.5" customHeight="1">
      <c r="A411" s="59" t="s">
        <v>1665</v>
      </c>
      <c r="B411" s="59" t="s">
        <v>59</v>
      </c>
      <c r="C411" s="59" t="s">
        <v>62</v>
      </c>
      <c r="D411" s="60">
        <v>1113785744</v>
      </c>
      <c r="E411" s="59" t="s">
        <v>1438</v>
      </c>
      <c r="F411" s="61" t="s">
        <v>1666</v>
      </c>
      <c r="G411" s="61">
        <v>1129</v>
      </c>
      <c r="H411" s="58">
        <v>45931</v>
      </c>
      <c r="I411" s="58">
        <v>46022</v>
      </c>
      <c r="J411" s="58">
        <v>46022</v>
      </c>
      <c r="K411" s="57">
        <v>7283406</v>
      </c>
      <c r="L411" s="28"/>
      <c r="M411" s="57">
        <v>7283406</v>
      </c>
      <c r="N411" s="28"/>
      <c r="O411" s="28"/>
      <c r="P411" s="28"/>
    </row>
    <row r="412" spans="1:16" ht="67.5" customHeight="1">
      <c r="A412" s="61" t="s">
        <v>1667</v>
      </c>
      <c r="B412" s="61" t="s">
        <v>59</v>
      </c>
      <c r="C412" s="61" t="s">
        <v>66</v>
      </c>
      <c r="D412" s="62">
        <v>1113786336</v>
      </c>
      <c r="E412" s="61" t="s">
        <v>1438</v>
      </c>
      <c r="F412" s="61" t="s">
        <v>1668</v>
      </c>
      <c r="G412" s="61">
        <v>1130</v>
      </c>
      <c r="H412" s="58">
        <v>45931</v>
      </c>
      <c r="I412" s="58">
        <v>46022</v>
      </c>
      <c r="J412" s="58">
        <v>46022</v>
      </c>
      <c r="K412" s="63">
        <v>7283406</v>
      </c>
      <c r="L412" s="48"/>
      <c r="M412" s="63">
        <v>7283406</v>
      </c>
      <c r="N412" s="48"/>
      <c r="O412" s="48"/>
      <c r="P412" s="48"/>
    </row>
    <row r="413" spans="1:16" ht="67.5" customHeight="1">
      <c r="A413" s="59" t="s">
        <v>1669</v>
      </c>
      <c r="B413" s="59" t="s">
        <v>182</v>
      </c>
      <c r="C413" s="59" t="s">
        <v>194</v>
      </c>
      <c r="D413" s="60">
        <v>1006592694</v>
      </c>
      <c r="E413" s="59" t="s">
        <v>361</v>
      </c>
      <c r="F413" s="59" t="s">
        <v>1670</v>
      </c>
      <c r="G413" s="59">
        <v>1131</v>
      </c>
      <c r="H413" s="56">
        <v>45931</v>
      </c>
      <c r="I413" s="56">
        <v>46022</v>
      </c>
      <c r="J413" s="56">
        <v>46022</v>
      </c>
      <c r="K413" s="57">
        <v>7420368</v>
      </c>
      <c r="L413" s="28"/>
      <c r="M413" s="57">
        <v>7420368</v>
      </c>
      <c r="N413" s="28"/>
      <c r="O413" s="28"/>
      <c r="P413" s="28"/>
    </row>
    <row r="414" spans="1:16" ht="67.5" customHeight="1">
      <c r="A414" s="59" t="s">
        <v>1671</v>
      </c>
      <c r="B414" s="59" t="s">
        <v>59</v>
      </c>
      <c r="C414" s="59" t="s">
        <v>102</v>
      </c>
      <c r="D414" s="60">
        <v>29775720</v>
      </c>
      <c r="E414" s="59" t="s">
        <v>1438</v>
      </c>
      <c r="F414" s="59" t="s">
        <v>1672</v>
      </c>
      <c r="G414" s="59">
        <v>1132</v>
      </c>
      <c r="H414" s="56">
        <v>45931</v>
      </c>
      <c r="I414" s="56">
        <v>46022</v>
      </c>
      <c r="J414" s="56">
        <v>46022</v>
      </c>
      <c r="K414" s="57">
        <v>7283406</v>
      </c>
      <c r="L414" s="28"/>
      <c r="M414" s="57">
        <v>7283406</v>
      </c>
      <c r="N414" s="28"/>
      <c r="O414" s="28"/>
      <c r="P414" s="28"/>
    </row>
    <row r="415" spans="1:16" ht="67.5" customHeight="1">
      <c r="A415" s="59" t="s">
        <v>1673</v>
      </c>
      <c r="B415" s="59" t="s">
        <v>54</v>
      </c>
      <c r="C415" s="59" t="s">
        <v>112</v>
      </c>
      <c r="D415" s="60">
        <v>66684176</v>
      </c>
      <c r="E415" s="59" t="s">
        <v>361</v>
      </c>
      <c r="F415" s="59" t="s">
        <v>1674</v>
      </c>
      <c r="G415" s="59">
        <v>1133</v>
      </c>
      <c r="H415" s="56">
        <v>45931</v>
      </c>
      <c r="I415" s="56">
        <v>46022</v>
      </c>
      <c r="J415" s="56">
        <v>46022</v>
      </c>
      <c r="K415" s="57">
        <v>8599805</v>
      </c>
      <c r="L415" s="28"/>
      <c r="M415" s="57">
        <v>8599805</v>
      </c>
      <c r="N415" s="28"/>
      <c r="O415" s="28"/>
      <c r="P415" s="28"/>
    </row>
    <row r="416" spans="1:16" ht="67.5" customHeight="1">
      <c r="A416" s="59" t="s">
        <v>1675</v>
      </c>
      <c r="B416" s="59" t="s">
        <v>54</v>
      </c>
      <c r="C416" s="59" t="s">
        <v>87</v>
      </c>
      <c r="D416" s="60">
        <v>1006290256</v>
      </c>
      <c r="E416" s="59" t="s">
        <v>361</v>
      </c>
      <c r="F416" s="59" t="s">
        <v>1676</v>
      </c>
      <c r="G416" s="59">
        <v>1134</v>
      </c>
      <c r="H416" s="56">
        <v>45931</v>
      </c>
      <c r="I416" s="56">
        <v>46022</v>
      </c>
      <c r="J416" s="56">
        <v>46022</v>
      </c>
      <c r="K416" s="57">
        <v>6625205</v>
      </c>
      <c r="L416" s="28"/>
      <c r="M416" s="57">
        <v>6625205</v>
      </c>
      <c r="N416" s="28"/>
      <c r="O416" s="28"/>
      <c r="P416" s="28"/>
    </row>
    <row r="417" spans="1:16" ht="67.5" customHeight="1">
      <c r="A417" s="59" t="s">
        <v>1677</v>
      </c>
      <c r="B417" s="59" t="s">
        <v>182</v>
      </c>
      <c r="C417" s="59" t="s">
        <v>183</v>
      </c>
      <c r="D417" s="60">
        <v>1113789308</v>
      </c>
      <c r="E417" s="59" t="s">
        <v>361</v>
      </c>
      <c r="F417" s="59" t="s">
        <v>1678</v>
      </c>
      <c r="G417" s="59">
        <v>1135</v>
      </c>
      <c r="H417" s="56">
        <v>45931</v>
      </c>
      <c r="I417" s="56">
        <v>46022</v>
      </c>
      <c r="J417" s="56">
        <v>46022</v>
      </c>
      <c r="K417" s="57">
        <v>7420368</v>
      </c>
      <c r="L417" s="28"/>
      <c r="M417" s="57">
        <v>7420368</v>
      </c>
      <c r="N417" s="28"/>
      <c r="O417" s="28"/>
      <c r="P417" s="28"/>
    </row>
    <row r="418" spans="1:16" ht="67.5" customHeight="1">
      <c r="A418" s="59" t="s">
        <v>1679</v>
      </c>
      <c r="B418" s="59" t="s">
        <v>72</v>
      </c>
      <c r="C418" s="59" t="s">
        <v>73</v>
      </c>
      <c r="D418" s="60">
        <v>1112934440</v>
      </c>
      <c r="E418" s="59" t="s">
        <v>1438</v>
      </c>
      <c r="F418" s="59" t="s">
        <v>1680</v>
      </c>
      <c r="G418" s="59">
        <v>1136</v>
      </c>
      <c r="H418" s="56">
        <v>45931</v>
      </c>
      <c r="I418" s="56">
        <v>46022</v>
      </c>
      <c r="J418" s="56">
        <v>46022</v>
      </c>
      <c r="K418" s="57">
        <v>6625205</v>
      </c>
      <c r="L418" s="28"/>
      <c r="M418" s="57">
        <v>6625205</v>
      </c>
      <c r="N418" s="28"/>
      <c r="O418" s="28"/>
      <c r="P418" s="28"/>
    </row>
    <row r="419" spans="1:16" ht="67.5" customHeight="1">
      <c r="A419" s="59" t="s">
        <v>1681</v>
      </c>
      <c r="B419" s="59" t="s">
        <v>72</v>
      </c>
      <c r="C419" s="59" t="s">
        <v>114</v>
      </c>
      <c r="D419" s="60">
        <v>16551908</v>
      </c>
      <c r="E419" s="59" t="s">
        <v>1438</v>
      </c>
      <c r="F419" s="59" t="s">
        <v>1682</v>
      </c>
      <c r="G419" s="59">
        <v>1137</v>
      </c>
      <c r="H419" s="56">
        <v>45931</v>
      </c>
      <c r="I419" s="56">
        <v>46022</v>
      </c>
      <c r="J419" s="56">
        <v>46022</v>
      </c>
      <c r="K419" s="57">
        <v>6625205</v>
      </c>
      <c r="L419" s="28"/>
      <c r="M419" s="57">
        <v>6625205</v>
      </c>
      <c r="N419" s="28"/>
      <c r="O419" s="28"/>
      <c r="P419" s="28"/>
    </row>
    <row r="420" spans="1:16" ht="67.5" customHeight="1">
      <c r="A420" s="59" t="s">
        <v>1683</v>
      </c>
      <c r="B420" s="59" t="s">
        <v>40</v>
      </c>
      <c r="C420" s="59" t="s">
        <v>75</v>
      </c>
      <c r="D420" s="60">
        <v>1116447757</v>
      </c>
      <c r="E420" s="59" t="s">
        <v>1438</v>
      </c>
      <c r="F420" s="59" t="s">
        <v>1684</v>
      </c>
      <c r="G420" s="59">
        <v>1138</v>
      </c>
      <c r="H420" s="56">
        <v>45931</v>
      </c>
      <c r="I420" s="56">
        <v>46022</v>
      </c>
      <c r="J420" s="56">
        <v>46022</v>
      </c>
      <c r="K420" s="57">
        <v>6625205</v>
      </c>
      <c r="L420" s="28"/>
      <c r="M420" s="57">
        <v>6625205</v>
      </c>
      <c r="N420" s="28"/>
      <c r="O420" s="28"/>
      <c r="P420" s="28"/>
    </row>
    <row r="421" spans="1:16" ht="67.5" customHeight="1">
      <c r="A421" s="59" t="s">
        <v>1685</v>
      </c>
      <c r="B421" s="59" t="s">
        <v>54</v>
      </c>
      <c r="C421" s="59" t="s">
        <v>68</v>
      </c>
      <c r="D421" s="60">
        <v>1113780801</v>
      </c>
      <c r="E421" s="59" t="s">
        <v>361</v>
      </c>
      <c r="F421" s="59" t="s">
        <v>1686</v>
      </c>
      <c r="G421" s="59">
        <v>1139</v>
      </c>
      <c r="H421" s="56">
        <v>45931</v>
      </c>
      <c r="I421" s="56">
        <v>46022</v>
      </c>
      <c r="J421" s="56">
        <v>46022</v>
      </c>
      <c r="K421" s="57">
        <v>6625205</v>
      </c>
      <c r="L421" s="28"/>
      <c r="M421" s="57">
        <v>6625205</v>
      </c>
      <c r="N421" s="28"/>
      <c r="O421" s="28"/>
      <c r="P421" s="28"/>
    </row>
    <row r="422" spans="1:16" ht="67.5" customHeight="1">
      <c r="A422" s="59" t="s">
        <v>1687</v>
      </c>
      <c r="B422" s="59" t="s">
        <v>72</v>
      </c>
      <c r="C422" s="59" t="s">
        <v>116</v>
      </c>
      <c r="D422" s="60">
        <v>66871398</v>
      </c>
      <c r="E422" s="59" t="s">
        <v>1438</v>
      </c>
      <c r="F422" s="59" t="s">
        <v>1688</v>
      </c>
      <c r="G422" s="59">
        <v>1140</v>
      </c>
      <c r="H422" s="56">
        <v>45931</v>
      </c>
      <c r="I422" s="56">
        <v>46022</v>
      </c>
      <c r="J422" s="56">
        <v>46022</v>
      </c>
      <c r="K422" s="57">
        <v>6625205</v>
      </c>
      <c r="L422" s="28"/>
      <c r="M422" s="57">
        <v>6625205</v>
      </c>
      <c r="N422" s="28"/>
      <c r="O422" s="28"/>
      <c r="P422" s="28"/>
    </row>
    <row r="423" spans="1:16" ht="67.5" customHeight="1">
      <c r="A423" s="59" t="s">
        <v>1689</v>
      </c>
      <c r="B423" s="59" t="s">
        <v>54</v>
      </c>
      <c r="C423" s="59" t="s">
        <v>100</v>
      </c>
      <c r="D423" s="60">
        <v>1112626169</v>
      </c>
      <c r="E423" s="59" t="s">
        <v>361</v>
      </c>
      <c r="F423" s="59" t="s">
        <v>1690</v>
      </c>
      <c r="G423" s="59">
        <v>1141</v>
      </c>
      <c r="H423" s="56">
        <v>45931</v>
      </c>
      <c r="I423" s="56">
        <v>46022</v>
      </c>
      <c r="J423" s="56">
        <v>46022</v>
      </c>
      <c r="K423" s="57">
        <v>6625205</v>
      </c>
      <c r="L423" s="28"/>
      <c r="M423" s="57">
        <v>6625205</v>
      </c>
      <c r="N423" s="28"/>
      <c r="O423" s="28"/>
      <c r="P423" s="28"/>
    </row>
    <row r="424" spans="1:16" ht="67.5" customHeight="1">
      <c r="A424" s="59" t="s">
        <v>1691</v>
      </c>
      <c r="B424" s="59" t="s">
        <v>54</v>
      </c>
      <c r="C424" s="59" t="s">
        <v>129</v>
      </c>
      <c r="D424" s="60">
        <v>1113779100</v>
      </c>
      <c r="E424" s="59" t="s">
        <v>361</v>
      </c>
      <c r="F424" s="59" t="s">
        <v>1692</v>
      </c>
      <c r="G424" s="59">
        <v>1142</v>
      </c>
      <c r="H424" s="56">
        <v>45931</v>
      </c>
      <c r="I424" s="56">
        <v>46022</v>
      </c>
      <c r="J424" s="56">
        <v>46022</v>
      </c>
      <c r="K424" s="57">
        <v>6625205</v>
      </c>
      <c r="L424" s="28"/>
      <c r="M424" s="57">
        <v>6625205</v>
      </c>
      <c r="N424" s="28"/>
      <c r="O424" s="28"/>
      <c r="P424" s="28"/>
    </row>
    <row r="425" spans="1:16" ht="67.5" customHeight="1">
      <c r="A425" s="59" t="s">
        <v>1693</v>
      </c>
      <c r="B425" s="59" t="s">
        <v>40</v>
      </c>
      <c r="C425" s="59" t="s">
        <v>81</v>
      </c>
      <c r="D425" s="60">
        <v>1005832976</v>
      </c>
      <c r="E425" s="59" t="s">
        <v>361</v>
      </c>
      <c r="F425" s="59" t="s">
        <v>1694</v>
      </c>
      <c r="G425" s="59">
        <v>1143</v>
      </c>
      <c r="H425" s="56">
        <v>45931</v>
      </c>
      <c r="I425" s="56">
        <v>46022</v>
      </c>
      <c r="J425" s="56">
        <v>46022</v>
      </c>
      <c r="K425" s="57">
        <v>6625205</v>
      </c>
      <c r="L425" s="28"/>
      <c r="M425" s="57">
        <v>6625205</v>
      </c>
      <c r="N425" s="28"/>
      <c r="O425" s="28"/>
      <c r="P425" s="28"/>
    </row>
    <row r="426" spans="1:16" ht="67.5" customHeight="1">
      <c r="A426" s="59" t="s">
        <v>1695</v>
      </c>
      <c r="B426" s="59" t="s">
        <v>40</v>
      </c>
      <c r="C426" s="59" t="s">
        <v>79</v>
      </c>
      <c r="D426" s="60">
        <v>1007630601</v>
      </c>
      <c r="E426" s="59" t="s">
        <v>1438</v>
      </c>
      <c r="F426" s="59" t="s">
        <v>1696</v>
      </c>
      <c r="G426" s="59">
        <v>1144</v>
      </c>
      <c r="H426" s="56">
        <v>45931</v>
      </c>
      <c r="I426" s="56">
        <v>46022</v>
      </c>
      <c r="J426" s="56">
        <v>46022</v>
      </c>
      <c r="K426" s="57">
        <v>6625205</v>
      </c>
      <c r="L426" s="28"/>
      <c r="M426" s="57">
        <v>6625205</v>
      </c>
      <c r="N426" s="28"/>
      <c r="O426" s="28"/>
      <c r="P426" s="28"/>
    </row>
    <row r="427" spans="1:16" ht="67.5" customHeight="1">
      <c r="A427" s="59" t="s">
        <v>1697</v>
      </c>
      <c r="B427" s="59" t="s">
        <v>40</v>
      </c>
      <c r="C427" s="59" t="s">
        <v>350</v>
      </c>
      <c r="D427" s="60">
        <v>1113787150</v>
      </c>
      <c r="E427" s="59" t="s">
        <v>1438</v>
      </c>
      <c r="F427" s="59" t="s">
        <v>1698</v>
      </c>
      <c r="G427" s="59">
        <v>1145</v>
      </c>
      <c r="H427" s="56">
        <v>45931</v>
      </c>
      <c r="I427" s="56">
        <v>46022</v>
      </c>
      <c r="J427" s="56">
        <v>46022</v>
      </c>
      <c r="K427" s="57">
        <v>6625205</v>
      </c>
      <c r="L427" s="28"/>
      <c r="M427" s="57">
        <v>6625205</v>
      </c>
      <c r="N427" s="28"/>
      <c r="O427" s="28"/>
      <c r="P427" s="28"/>
    </row>
    <row r="428" spans="1:16" ht="67.5" customHeight="1">
      <c r="A428" s="59" t="s">
        <v>1699</v>
      </c>
      <c r="B428" s="59" t="s">
        <v>40</v>
      </c>
      <c r="C428" s="59" t="s">
        <v>70</v>
      </c>
      <c r="D428" s="60">
        <v>66872070</v>
      </c>
      <c r="E428" s="59" t="s">
        <v>1438</v>
      </c>
      <c r="F428" s="59" t="s">
        <v>1700</v>
      </c>
      <c r="G428" s="59">
        <v>1146</v>
      </c>
      <c r="H428" s="56">
        <v>45931</v>
      </c>
      <c r="I428" s="56">
        <v>46022</v>
      </c>
      <c r="J428" s="56">
        <v>46022</v>
      </c>
      <c r="K428" s="57">
        <v>6625205</v>
      </c>
      <c r="L428" s="28"/>
      <c r="M428" s="57">
        <v>6625205</v>
      </c>
      <c r="N428" s="28"/>
      <c r="O428" s="28"/>
      <c r="P428" s="28"/>
    </row>
    <row r="429" spans="1:16" ht="67.5" customHeight="1">
      <c r="A429" s="59" t="s">
        <v>1701</v>
      </c>
      <c r="B429" s="59" t="s">
        <v>40</v>
      </c>
      <c r="C429" s="59" t="s">
        <v>77</v>
      </c>
      <c r="D429" s="60">
        <v>1113792961</v>
      </c>
      <c r="E429" s="59" t="s">
        <v>1438</v>
      </c>
      <c r="F429" s="59" t="s">
        <v>1702</v>
      </c>
      <c r="G429" s="59">
        <v>1147</v>
      </c>
      <c r="H429" s="56">
        <v>45931</v>
      </c>
      <c r="I429" s="56">
        <v>46022</v>
      </c>
      <c r="J429" s="56">
        <v>46022</v>
      </c>
      <c r="K429" s="57">
        <v>6625205</v>
      </c>
      <c r="L429" s="28"/>
      <c r="M429" s="57">
        <v>6625205</v>
      </c>
      <c r="N429" s="28"/>
      <c r="O429" s="28"/>
      <c r="P429" s="28"/>
    </row>
    <row r="430" spans="1:16" ht="67.5" customHeight="1">
      <c r="A430" s="59" t="s">
        <v>1703</v>
      </c>
      <c r="B430" s="59" t="s">
        <v>312</v>
      </c>
      <c r="C430" s="59" t="s">
        <v>313</v>
      </c>
      <c r="D430" s="60">
        <v>94502584</v>
      </c>
      <c r="E430" s="59" t="s">
        <v>361</v>
      </c>
      <c r="F430" s="59" t="s">
        <v>1704</v>
      </c>
      <c r="G430" s="59">
        <v>1148</v>
      </c>
      <c r="H430" s="56">
        <v>45931</v>
      </c>
      <c r="I430" s="56">
        <v>46022</v>
      </c>
      <c r="J430" s="56">
        <v>46022</v>
      </c>
      <c r="K430" s="57">
        <v>7420368</v>
      </c>
      <c r="L430" s="28"/>
      <c r="M430" s="57">
        <v>7420368</v>
      </c>
      <c r="N430" s="28"/>
      <c r="O430" s="28"/>
      <c r="P430" s="28"/>
    </row>
    <row r="431" spans="1:16" ht="67.5" customHeight="1">
      <c r="A431" s="59" t="s">
        <v>1705</v>
      </c>
      <c r="B431" s="59" t="s">
        <v>40</v>
      </c>
      <c r="C431" s="59" t="s">
        <v>89</v>
      </c>
      <c r="D431" s="60">
        <v>1007502136</v>
      </c>
      <c r="E431" s="59" t="s">
        <v>1438</v>
      </c>
      <c r="F431" s="59" t="s">
        <v>1706</v>
      </c>
      <c r="G431" s="59">
        <v>1149</v>
      </c>
      <c r="H431" s="56">
        <v>45931</v>
      </c>
      <c r="I431" s="56">
        <v>46022</v>
      </c>
      <c r="J431" s="56">
        <v>46022</v>
      </c>
      <c r="K431" s="57">
        <v>6625205</v>
      </c>
      <c r="L431" s="28"/>
      <c r="M431" s="57">
        <v>6625205</v>
      </c>
      <c r="N431" s="28"/>
      <c r="O431" s="28"/>
      <c r="P431" s="28"/>
    </row>
    <row r="432" spans="1:16" ht="67.5" customHeight="1">
      <c r="A432" s="59" t="s">
        <v>1707</v>
      </c>
      <c r="B432" s="59" t="s">
        <v>54</v>
      </c>
      <c r="C432" s="59" t="s">
        <v>55</v>
      </c>
      <c r="D432" s="60">
        <v>1002938583</v>
      </c>
      <c r="E432" s="59" t="s">
        <v>1438</v>
      </c>
      <c r="F432" s="59" t="s">
        <v>1708</v>
      </c>
      <c r="G432" s="59">
        <v>1150</v>
      </c>
      <c r="H432" s="56">
        <v>45931</v>
      </c>
      <c r="I432" s="56">
        <v>46022</v>
      </c>
      <c r="J432" s="56">
        <v>46022</v>
      </c>
      <c r="K432" s="57">
        <v>6625205</v>
      </c>
      <c r="L432" s="28"/>
      <c r="M432" s="57">
        <v>6625205</v>
      </c>
      <c r="N432" s="28"/>
      <c r="O432" s="28"/>
      <c r="P432" s="28"/>
    </row>
    <row r="433" spans="1:16" ht="67.5" customHeight="1">
      <c r="A433" s="59" t="s">
        <v>1709</v>
      </c>
      <c r="B433" s="59" t="s">
        <v>40</v>
      </c>
      <c r="C433" s="59" t="s">
        <v>142</v>
      </c>
      <c r="D433" s="60">
        <v>1006289833</v>
      </c>
      <c r="E433" s="59" t="s">
        <v>1438</v>
      </c>
      <c r="F433" s="59" t="s">
        <v>1710</v>
      </c>
      <c r="G433" s="59">
        <v>1151</v>
      </c>
      <c r="H433" s="56">
        <v>45931</v>
      </c>
      <c r="I433" s="56">
        <v>46022</v>
      </c>
      <c r="J433" s="56">
        <v>46022</v>
      </c>
      <c r="K433" s="57">
        <v>6625205</v>
      </c>
      <c r="L433" s="28"/>
      <c r="M433" s="57">
        <v>6625205</v>
      </c>
      <c r="N433" s="28"/>
      <c r="O433" s="28"/>
      <c r="P433" s="28"/>
    </row>
    <row r="434" spans="1:16" ht="67.5" customHeight="1">
      <c r="A434" s="59" t="s">
        <v>1711</v>
      </c>
      <c r="B434" s="59" t="s">
        <v>40</v>
      </c>
      <c r="C434" s="59" t="s">
        <v>166</v>
      </c>
      <c r="D434" s="60">
        <v>1113780994</v>
      </c>
      <c r="E434" s="59" t="s">
        <v>1438</v>
      </c>
      <c r="F434" s="59" t="s">
        <v>1712</v>
      </c>
      <c r="G434" s="59">
        <v>1152</v>
      </c>
      <c r="H434" s="56">
        <v>45931</v>
      </c>
      <c r="I434" s="56">
        <v>46022</v>
      </c>
      <c r="J434" s="56">
        <v>46022</v>
      </c>
      <c r="K434" s="57">
        <v>6625205</v>
      </c>
      <c r="L434" s="28"/>
      <c r="M434" s="57">
        <v>6625205</v>
      </c>
      <c r="N434" s="28"/>
      <c r="O434" s="28"/>
      <c r="P434" s="28"/>
    </row>
    <row r="435" spans="1:16" ht="67.5" customHeight="1">
      <c r="A435" s="59" t="s">
        <v>1713</v>
      </c>
      <c r="B435" s="59" t="s">
        <v>40</v>
      </c>
      <c r="C435" s="59" t="s">
        <v>164</v>
      </c>
      <c r="D435" s="60">
        <v>1113792125</v>
      </c>
      <c r="E435" s="59" t="s">
        <v>1438</v>
      </c>
      <c r="F435" s="59" t="s">
        <v>1714</v>
      </c>
      <c r="G435" s="59">
        <v>1153</v>
      </c>
      <c r="H435" s="56">
        <v>45931</v>
      </c>
      <c r="I435" s="56">
        <v>46022</v>
      </c>
      <c r="J435" s="56">
        <v>46022</v>
      </c>
      <c r="K435" s="57">
        <v>6625205</v>
      </c>
      <c r="L435" s="28"/>
      <c r="M435" s="57">
        <v>6625205</v>
      </c>
      <c r="N435" s="28"/>
      <c r="O435" s="28"/>
      <c r="P435" s="28"/>
    </row>
    <row r="436" spans="1:16" ht="67.5" customHeight="1">
      <c r="A436" s="59" t="s">
        <v>1715</v>
      </c>
      <c r="B436" s="59" t="s">
        <v>40</v>
      </c>
      <c r="C436" s="59" t="s">
        <v>173</v>
      </c>
      <c r="D436" s="60">
        <v>1006439177</v>
      </c>
      <c r="E436" s="59" t="s">
        <v>1438</v>
      </c>
      <c r="F436" s="59" t="s">
        <v>1716</v>
      </c>
      <c r="G436" s="59">
        <v>1154</v>
      </c>
      <c r="H436" s="56">
        <v>45931</v>
      </c>
      <c r="I436" s="56">
        <v>46022</v>
      </c>
      <c r="J436" s="56">
        <v>46022</v>
      </c>
      <c r="K436" s="57">
        <v>6625205</v>
      </c>
      <c r="L436" s="28"/>
      <c r="M436" s="57">
        <v>6625205</v>
      </c>
      <c r="N436" s="28"/>
      <c r="O436" s="28"/>
      <c r="P436" s="28"/>
    </row>
    <row r="437" spans="1:16" ht="67.5" customHeight="1">
      <c r="A437" s="59" t="s">
        <v>1717</v>
      </c>
      <c r="B437" s="59" t="s">
        <v>341</v>
      </c>
      <c r="C437" s="59" t="s">
        <v>342</v>
      </c>
      <c r="D437" s="60">
        <v>1113786004</v>
      </c>
      <c r="E437" s="59" t="s">
        <v>1499</v>
      </c>
      <c r="F437" s="59" t="s">
        <v>1718</v>
      </c>
      <c r="G437" s="59">
        <v>1155</v>
      </c>
      <c r="H437" s="56">
        <v>45931</v>
      </c>
      <c r="I437" s="56">
        <v>46022</v>
      </c>
      <c r="J437" s="56">
        <v>46022</v>
      </c>
      <c r="K437" s="57">
        <v>7420368</v>
      </c>
      <c r="L437" s="28"/>
      <c r="M437" s="57">
        <v>7420368</v>
      </c>
      <c r="N437" s="28"/>
      <c r="O437" s="28"/>
      <c r="P437" s="28"/>
    </row>
    <row r="438" spans="1:16" ht="67.5" customHeight="1">
      <c r="A438" s="59" t="s">
        <v>1719</v>
      </c>
      <c r="B438" s="59" t="s">
        <v>54</v>
      </c>
      <c r="C438" s="59" t="s">
        <v>96</v>
      </c>
      <c r="D438" s="60">
        <v>29774780</v>
      </c>
      <c r="E438" s="59" t="s">
        <v>361</v>
      </c>
      <c r="F438" s="59" t="s">
        <v>1720</v>
      </c>
      <c r="G438" s="59">
        <v>1156</v>
      </c>
      <c r="H438" s="56">
        <v>45931</v>
      </c>
      <c r="I438" s="56">
        <v>46022</v>
      </c>
      <c r="J438" s="56">
        <v>46022</v>
      </c>
      <c r="K438" s="57">
        <v>6625205</v>
      </c>
      <c r="L438" s="28"/>
      <c r="M438" s="57">
        <v>6625205</v>
      </c>
      <c r="N438" s="28"/>
      <c r="O438" s="28"/>
      <c r="P438" s="28"/>
    </row>
    <row r="439" spans="1:16" ht="67.5" customHeight="1">
      <c r="A439" s="59" t="s">
        <v>1721</v>
      </c>
      <c r="B439" s="59" t="s">
        <v>40</v>
      </c>
      <c r="C439" s="59" t="s">
        <v>171</v>
      </c>
      <c r="D439" s="60">
        <v>29775220</v>
      </c>
      <c r="E439" s="59" t="s">
        <v>1438</v>
      </c>
      <c r="F439" s="59" t="s">
        <v>1722</v>
      </c>
      <c r="G439" s="59">
        <v>1157</v>
      </c>
      <c r="H439" s="56">
        <v>45931</v>
      </c>
      <c r="I439" s="56">
        <v>46022</v>
      </c>
      <c r="J439" s="56">
        <v>46022</v>
      </c>
      <c r="K439" s="57">
        <v>6625205</v>
      </c>
      <c r="L439" s="28"/>
      <c r="M439" s="57">
        <v>6625205</v>
      </c>
      <c r="N439" s="28"/>
      <c r="O439" s="28"/>
      <c r="P439" s="28"/>
    </row>
    <row r="440" spans="1:16" ht="67.5" customHeight="1">
      <c r="A440" s="59" t="s">
        <v>1723</v>
      </c>
      <c r="B440" s="59" t="s">
        <v>54</v>
      </c>
      <c r="C440" s="59" t="s">
        <v>91</v>
      </c>
      <c r="D440" s="60">
        <v>66872592</v>
      </c>
      <c r="E440" s="59" t="s">
        <v>361</v>
      </c>
      <c r="F440" s="59" t="s">
        <v>1724</v>
      </c>
      <c r="G440" s="59">
        <v>1158</v>
      </c>
      <c r="H440" s="56">
        <v>45931</v>
      </c>
      <c r="I440" s="56">
        <v>46022</v>
      </c>
      <c r="J440" s="56">
        <v>46022</v>
      </c>
      <c r="K440" s="57">
        <v>6625205</v>
      </c>
      <c r="L440" s="28"/>
      <c r="M440" s="57">
        <v>6625205</v>
      </c>
      <c r="N440" s="28"/>
      <c r="O440" s="28"/>
      <c r="P440" s="28"/>
    </row>
    <row r="441" spans="1:16" ht="67.5" customHeight="1">
      <c r="A441" s="59" t="s">
        <v>1725</v>
      </c>
      <c r="B441" s="59" t="s">
        <v>40</v>
      </c>
      <c r="C441" s="59" t="s">
        <v>140</v>
      </c>
      <c r="D441" s="60">
        <v>1006290193</v>
      </c>
      <c r="E441" s="59" t="s">
        <v>1438</v>
      </c>
      <c r="F441" s="59" t="s">
        <v>1726</v>
      </c>
      <c r="G441" s="59">
        <v>1159</v>
      </c>
      <c r="H441" s="56">
        <v>45931</v>
      </c>
      <c r="I441" s="56">
        <v>46022</v>
      </c>
      <c r="J441" s="56">
        <v>46022</v>
      </c>
      <c r="K441" s="57">
        <v>6625205</v>
      </c>
      <c r="L441" s="28"/>
      <c r="M441" s="57">
        <v>6625205</v>
      </c>
      <c r="N441" s="28"/>
      <c r="O441" s="28"/>
      <c r="P441" s="28"/>
    </row>
    <row r="442" spans="1:16" ht="67.5" customHeight="1">
      <c r="A442" s="59" t="s">
        <v>1727</v>
      </c>
      <c r="B442" s="59" t="s">
        <v>40</v>
      </c>
      <c r="C442" s="59" t="s">
        <v>98</v>
      </c>
      <c r="D442" s="60">
        <v>16804209</v>
      </c>
      <c r="E442" s="59" t="s">
        <v>1438</v>
      </c>
      <c r="F442" s="59" t="s">
        <v>1728</v>
      </c>
      <c r="G442" s="59">
        <v>1160</v>
      </c>
      <c r="H442" s="56">
        <v>45931</v>
      </c>
      <c r="I442" s="56">
        <v>46022</v>
      </c>
      <c r="J442" s="56">
        <v>46022</v>
      </c>
      <c r="K442" s="57">
        <v>6625205</v>
      </c>
      <c r="L442" s="28"/>
      <c r="M442" s="57">
        <v>6625205</v>
      </c>
      <c r="N442" s="28"/>
      <c r="O442" s="28"/>
      <c r="P442" s="28"/>
    </row>
    <row r="443" spans="1:16" ht="67.5" customHeight="1">
      <c r="A443" s="59" t="s">
        <v>1729</v>
      </c>
      <c r="B443" s="59" t="s">
        <v>54</v>
      </c>
      <c r="C443" s="59" t="s">
        <v>85</v>
      </c>
      <c r="D443" s="60">
        <v>1113793450</v>
      </c>
      <c r="E443" s="59" t="s">
        <v>361</v>
      </c>
      <c r="F443" s="59" t="s">
        <v>1730</v>
      </c>
      <c r="G443" s="59">
        <v>1161</v>
      </c>
      <c r="H443" s="56">
        <v>45931</v>
      </c>
      <c r="I443" s="56">
        <v>46022</v>
      </c>
      <c r="J443" s="56">
        <v>46022</v>
      </c>
      <c r="K443" s="57">
        <v>6625205</v>
      </c>
      <c r="L443" s="28"/>
      <c r="M443" s="57">
        <v>6625205</v>
      </c>
      <c r="N443" s="28"/>
      <c r="O443" s="28"/>
      <c r="P443" s="28"/>
    </row>
    <row r="444" spans="1:16" ht="67.5" customHeight="1">
      <c r="A444" s="59" t="s">
        <v>1731</v>
      </c>
      <c r="B444" s="64" t="s">
        <v>40</v>
      </c>
      <c r="C444" s="59" t="s">
        <v>49</v>
      </c>
      <c r="D444" s="60">
        <v>1116437572</v>
      </c>
      <c r="E444" s="59" t="s">
        <v>361</v>
      </c>
      <c r="F444" s="59" t="s">
        <v>1732</v>
      </c>
      <c r="G444" s="59">
        <v>1162</v>
      </c>
      <c r="H444" s="56">
        <v>45931</v>
      </c>
      <c r="I444" s="56">
        <v>46022</v>
      </c>
      <c r="J444" s="56">
        <v>46022</v>
      </c>
      <c r="K444" s="57">
        <v>6625205</v>
      </c>
      <c r="L444" s="28"/>
      <c r="M444" s="57">
        <v>6625205</v>
      </c>
      <c r="N444" s="28"/>
      <c r="O444" s="28"/>
      <c r="P444" s="28"/>
    </row>
    <row r="445" spans="1:16" ht="67.5" customHeight="1">
      <c r="A445" s="59" t="s">
        <v>1733</v>
      </c>
      <c r="B445" s="59" t="s">
        <v>332</v>
      </c>
      <c r="C445" s="59" t="s">
        <v>333</v>
      </c>
      <c r="D445" s="60">
        <v>1113789643</v>
      </c>
      <c r="E445" s="59" t="s">
        <v>1499</v>
      </c>
      <c r="F445" s="59" t="s">
        <v>1734</v>
      </c>
      <c r="G445" s="59">
        <v>1163</v>
      </c>
      <c r="H445" s="56">
        <v>45931</v>
      </c>
      <c r="I445" s="56">
        <v>46022</v>
      </c>
      <c r="J445" s="56">
        <v>46022</v>
      </c>
      <c r="K445" s="57">
        <v>7420368</v>
      </c>
      <c r="L445" s="28"/>
      <c r="M445" s="57">
        <v>7420368</v>
      </c>
      <c r="N445" s="28"/>
      <c r="O445" s="28"/>
      <c r="P445" s="28"/>
    </row>
    <row r="446" spans="1:16" ht="67.5" customHeight="1">
      <c r="A446" s="59" t="s">
        <v>1735</v>
      </c>
      <c r="B446" s="59" t="s">
        <v>1736</v>
      </c>
      <c r="C446" s="59" t="s">
        <v>106</v>
      </c>
      <c r="D446" s="60">
        <v>66873274</v>
      </c>
      <c r="E446" s="59" t="s">
        <v>361</v>
      </c>
      <c r="F446" s="59" t="s">
        <v>1737</v>
      </c>
      <c r="G446" s="59">
        <v>1164</v>
      </c>
      <c r="H446" s="56">
        <v>45931</v>
      </c>
      <c r="I446" s="56">
        <v>46022</v>
      </c>
      <c r="J446" s="56">
        <v>46022</v>
      </c>
      <c r="K446" s="57">
        <v>6296105</v>
      </c>
      <c r="L446" s="28"/>
      <c r="M446" s="57">
        <v>6296105</v>
      </c>
      <c r="N446" s="28"/>
      <c r="O446" s="28"/>
      <c r="P446" s="28"/>
    </row>
    <row r="447" spans="1:16" ht="67.5" customHeight="1">
      <c r="A447" s="59" t="s">
        <v>1738</v>
      </c>
      <c r="B447" s="59" t="s">
        <v>8</v>
      </c>
      <c r="C447" s="59" t="s">
        <v>233</v>
      </c>
      <c r="D447" s="60">
        <v>1113782163</v>
      </c>
      <c r="E447" s="59" t="s">
        <v>361</v>
      </c>
      <c r="F447" s="59" t="s">
        <v>1739</v>
      </c>
      <c r="G447" s="59">
        <v>1165</v>
      </c>
      <c r="H447" s="56">
        <v>45931</v>
      </c>
      <c r="I447" s="56">
        <v>46022</v>
      </c>
      <c r="J447" s="56">
        <v>46022</v>
      </c>
      <c r="K447" s="57">
        <v>6296105</v>
      </c>
      <c r="L447" s="28"/>
      <c r="M447" s="57">
        <v>6296105</v>
      </c>
      <c r="N447" s="28"/>
      <c r="O447" s="28"/>
      <c r="P447" s="28"/>
    </row>
    <row r="448" spans="1:16" ht="67.5" customHeight="1">
      <c r="A448" s="59" t="s">
        <v>1740</v>
      </c>
      <c r="B448" s="59" t="s">
        <v>51</v>
      </c>
      <c r="C448" s="59" t="s">
        <v>120</v>
      </c>
      <c r="D448" s="60">
        <v>66701137</v>
      </c>
      <c r="E448" s="59" t="s">
        <v>361</v>
      </c>
      <c r="F448" s="59" t="s">
        <v>1741</v>
      </c>
      <c r="G448" s="59">
        <v>1166</v>
      </c>
      <c r="H448" s="56">
        <v>45931</v>
      </c>
      <c r="I448" s="56">
        <v>46022</v>
      </c>
      <c r="J448" s="56">
        <v>46022</v>
      </c>
      <c r="K448" s="57">
        <v>7283405</v>
      </c>
      <c r="L448" s="28"/>
      <c r="M448" s="57">
        <v>7283405</v>
      </c>
      <c r="N448" s="28"/>
      <c r="O448" s="28"/>
      <c r="P448" s="28"/>
    </row>
    <row r="449" spans="1:16" ht="67.5" customHeight="1">
      <c r="A449" s="59" t="s">
        <v>1742</v>
      </c>
      <c r="B449" s="59" t="s">
        <v>40</v>
      </c>
      <c r="C449" s="59" t="s">
        <v>104</v>
      </c>
      <c r="D449" s="60">
        <v>1113790485</v>
      </c>
      <c r="E449" s="59" t="s">
        <v>1438</v>
      </c>
      <c r="F449" s="59" t="s">
        <v>1743</v>
      </c>
      <c r="G449" s="59">
        <v>1167</v>
      </c>
      <c r="H449" s="56">
        <v>45931</v>
      </c>
      <c r="I449" s="56">
        <v>46022</v>
      </c>
      <c r="J449" s="56">
        <v>46022</v>
      </c>
      <c r="K449" s="57">
        <v>6625205</v>
      </c>
      <c r="L449" s="28"/>
      <c r="M449" s="57">
        <v>6625205</v>
      </c>
      <c r="N449" s="28"/>
      <c r="O449" s="28"/>
      <c r="P449" s="28"/>
    </row>
    <row r="450" spans="1:16" ht="67.5" customHeight="1">
      <c r="A450" s="59" t="s">
        <v>1744</v>
      </c>
      <c r="B450" s="59" t="s">
        <v>177</v>
      </c>
      <c r="C450" s="59" t="s">
        <v>252</v>
      </c>
      <c r="D450" s="60">
        <v>13483591</v>
      </c>
      <c r="E450" s="59" t="s">
        <v>361</v>
      </c>
      <c r="F450" s="59" t="s">
        <v>1745</v>
      </c>
      <c r="G450" s="59">
        <v>1168</v>
      </c>
      <c r="H450" s="56">
        <v>45931</v>
      </c>
      <c r="I450" s="56">
        <v>46022</v>
      </c>
      <c r="J450" s="56">
        <v>46022</v>
      </c>
      <c r="K450" s="57">
        <v>7420368</v>
      </c>
      <c r="L450" s="28"/>
      <c r="M450" s="57">
        <v>7420368</v>
      </c>
      <c r="N450" s="28"/>
      <c r="O450" s="28"/>
      <c r="P450" s="28"/>
    </row>
    <row r="451" spans="1:16" ht="67.5" customHeight="1">
      <c r="A451" s="59" t="s">
        <v>1746</v>
      </c>
      <c r="B451" s="59" t="s">
        <v>161</v>
      </c>
      <c r="C451" s="59" t="s">
        <v>162</v>
      </c>
      <c r="D451" s="60">
        <v>1113793732</v>
      </c>
      <c r="E451" s="59" t="s">
        <v>1438</v>
      </c>
      <c r="F451" s="59" t="s">
        <v>1747</v>
      </c>
      <c r="G451" s="59">
        <v>1169</v>
      </c>
      <c r="H451" s="56">
        <v>45931</v>
      </c>
      <c r="I451" s="56">
        <v>46022</v>
      </c>
      <c r="J451" s="56">
        <v>46022</v>
      </c>
      <c r="K451" s="57">
        <v>7283406</v>
      </c>
      <c r="L451" s="28"/>
      <c r="M451" s="57">
        <v>7283406</v>
      </c>
      <c r="N451" s="28"/>
      <c r="O451" s="28"/>
      <c r="P451" s="28"/>
    </row>
    <row r="452" spans="1:16" ht="67.5" customHeight="1">
      <c r="A452" s="59" t="s">
        <v>1748</v>
      </c>
      <c r="B452" s="59" t="s">
        <v>51</v>
      </c>
      <c r="C452" s="59" t="s">
        <v>122</v>
      </c>
      <c r="D452" s="60">
        <v>16553538</v>
      </c>
      <c r="E452" s="59" t="s">
        <v>361</v>
      </c>
      <c r="F452" s="59" t="s">
        <v>1749</v>
      </c>
      <c r="G452" s="59">
        <v>1170</v>
      </c>
      <c r="H452" s="56">
        <v>45931</v>
      </c>
      <c r="I452" s="56">
        <v>46022</v>
      </c>
      <c r="J452" s="56">
        <v>46022</v>
      </c>
      <c r="K452" s="57">
        <v>7283405</v>
      </c>
      <c r="L452" s="28"/>
      <c r="M452" s="57">
        <v>7283405</v>
      </c>
      <c r="N452" s="28"/>
      <c r="O452" s="28"/>
      <c r="P452" s="28"/>
    </row>
    <row r="453" spans="1:16" ht="67.5" customHeight="1">
      <c r="A453" s="59" t="s">
        <v>1750</v>
      </c>
      <c r="B453" s="59" t="s">
        <v>5</v>
      </c>
      <c r="C453" s="59" t="s">
        <v>110</v>
      </c>
      <c r="D453" s="60">
        <v>16552781</v>
      </c>
      <c r="E453" s="59" t="s">
        <v>361</v>
      </c>
      <c r="F453" s="59" t="s">
        <v>1751</v>
      </c>
      <c r="G453" s="59">
        <v>1171</v>
      </c>
      <c r="H453" s="56">
        <v>45931</v>
      </c>
      <c r="I453" s="56">
        <v>46022</v>
      </c>
      <c r="J453" s="56">
        <v>46022</v>
      </c>
      <c r="K453" s="57">
        <v>6296105</v>
      </c>
      <c r="L453" s="28"/>
      <c r="M453" s="57">
        <v>6296105</v>
      </c>
      <c r="N453" s="28"/>
      <c r="O453" s="28"/>
      <c r="P453" s="28"/>
    </row>
    <row r="454" spans="1:16" ht="67.5" customHeight="1">
      <c r="A454" s="59" t="s">
        <v>1752</v>
      </c>
      <c r="B454" s="59" t="s">
        <v>5</v>
      </c>
      <c r="C454" s="59" t="s">
        <v>108</v>
      </c>
      <c r="D454" s="60">
        <v>79371183</v>
      </c>
      <c r="E454" s="59" t="s">
        <v>361</v>
      </c>
      <c r="F454" s="59" t="s">
        <v>1753</v>
      </c>
      <c r="G454" s="59">
        <v>1172</v>
      </c>
      <c r="H454" s="56">
        <v>45931</v>
      </c>
      <c r="I454" s="56">
        <v>46022</v>
      </c>
      <c r="J454" s="56">
        <v>46022</v>
      </c>
      <c r="K454" s="57">
        <v>6296105</v>
      </c>
      <c r="L454" s="28"/>
      <c r="M454" s="57">
        <v>6296105</v>
      </c>
      <c r="N454" s="28"/>
      <c r="O454" s="28"/>
      <c r="P454" s="28"/>
    </row>
    <row r="455" spans="1:16" ht="67.5" customHeight="1">
      <c r="A455" s="59" t="s">
        <v>1754</v>
      </c>
      <c r="B455" s="59" t="s">
        <v>8</v>
      </c>
      <c r="C455" s="59" t="s">
        <v>148</v>
      </c>
      <c r="D455" s="60">
        <v>66873453</v>
      </c>
      <c r="E455" s="59" t="s">
        <v>361</v>
      </c>
      <c r="F455" s="59" t="s">
        <v>1755</v>
      </c>
      <c r="G455" s="59">
        <v>1173</v>
      </c>
      <c r="H455" s="56">
        <v>45931</v>
      </c>
      <c r="I455" s="56">
        <v>46022</v>
      </c>
      <c r="J455" s="56">
        <v>46022</v>
      </c>
      <c r="K455" s="57">
        <v>6296105</v>
      </c>
      <c r="L455" s="28"/>
      <c r="M455" s="57">
        <v>6296105</v>
      </c>
      <c r="N455" s="28"/>
      <c r="O455" s="28"/>
      <c r="P455" s="28"/>
    </row>
    <row r="456" spans="1:16" ht="67.5" customHeight="1">
      <c r="A456" s="59" t="s">
        <v>1756</v>
      </c>
      <c r="B456" s="59" t="s">
        <v>8</v>
      </c>
      <c r="C456" s="59" t="s">
        <v>144</v>
      </c>
      <c r="D456" s="60">
        <v>66870312</v>
      </c>
      <c r="E456" s="59" t="s">
        <v>361</v>
      </c>
      <c r="F456" s="59" t="s">
        <v>1757</v>
      </c>
      <c r="G456" s="59">
        <v>1174</v>
      </c>
      <c r="H456" s="56">
        <v>45931</v>
      </c>
      <c r="I456" s="56">
        <v>46022</v>
      </c>
      <c r="J456" s="56">
        <v>46022</v>
      </c>
      <c r="K456" s="57">
        <v>6296105</v>
      </c>
      <c r="L456" s="28"/>
      <c r="M456" s="57">
        <v>6296105</v>
      </c>
      <c r="N456" s="28"/>
      <c r="O456" s="28"/>
      <c r="P456" s="28"/>
    </row>
    <row r="457" spans="1:16" ht="67.5" customHeight="1">
      <c r="A457" s="59" t="s">
        <v>1758</v>
      </c>
      <c r="B457" s="59" t="s">
        <v>51</v>
      </c>
      <c r="C457" s="59" t="s">
        <v>52</v>
      </c>
      <c r="D457" s="60">
        <v>79807608</v>
      </c>
      <c r="E457" s="59" t="s">
        <v>361</v>
      </c>
      <c r="F457" s="59" t="s">
        <v>1759</v>
      </c>
      <c r="G457" s="59">
        <v>1175</v>
      </c>
      <c r="H457" s="56">
        <v>45931</v>
      </c>
      <c r="I457" s="56">
        <v>46022</v>
      </c>
      <c r="J457" s="56">
        <v>46022</v>
      </c>
      <c r="K457" s="57">
        <v>7283405</v>
      </c>
      <c r="L457" s="28"/>
      <c r="M457" s="57">
        <v>7283405</v>
      </c>
      <c r="N457" s="28"/>
      <c r="O457" s="28"/>
      <c r="P457" s="28"/>
    </row>
    <row r="458" spans="1:16" ht="67.5" customHeight="1">
      <c r="A458" s="59" t="s">
        <v>1760</v>
      </c>
      <c r="B458" s="59" t="s">
        <v>72</v>
      </c>
      <c r="C458" s="59" t="s">
        <v>118</v>
      </c>
      <c r="D458" s="60">
        <v>1007330601</v>
      </c>
      <c r="E458" s="59" t="s">
        <v>1438</v>
      </c>
      <c r="F458" s="59" t="s">
        <v>1761</v>
      </c>
      <c r="G458" s="59">
        <v>1176</v>
      </c>
      <c r="H458" s="56">
        <v>45931</v>
      </c>
      <c r="I458" s="56">
        <v>46022</v>
      </c>
      <c r="J458" s="56">
        <v>46022</v>
      </c>
      <c r="K458" s="57">
        <v>6625205</v>
      </c>
      <c r="L458" s="28"/>
      <c r="M458" s="57">
        <v>6625205</v>
      </c>
      <c r="N458" s="28"/>
      <c r="O458" s="28"/>
      <c r="P458" s="28"/>
    </row>
    <row r="459" spans="1:16" ht="67.5" customHeight="1">
      <c r="A459" s="59" t="s">
        <v>1762</v>
      </c>
      <c r="B459" s="59" t="s">
        <v>137</v>
      </c>
      <c r="C459" s="59" t="s">
        <v>138</v>
      </c>
      <c r="D459" s="60">
        <v>1113793583</v>
      </c>
      <c r="E459" s="59" t="s">
        <v>361</v>
      </c>
      <c r="F459" s="59" t="s">
        <v>1763</v>
      </c>
      <c r="G459" s="59">
        <v>1177</v>
      </c>
      <c r="H459" s="56">
        <v>45931</v>
      </c>
      <c r="I459" s="56">
        <v>46022</v>
      </c>
      <c r="J459" s="56">
        <v>46022</v>
      </c>
      <c r="K459" s="57">
        <v>7283405</v>
      </c>
      <c r="L459" s="57">
        <v>837393</v>
      </c>
      <c r="M459" s="57">
        <f>7283405+L459</f>
        <v>8120798</v>
      </c>
      <c r="N459" s="56">
        <v>45944</v>
      </c>
      <c r="O459" s="27" t="s">
        <v>1764</v>
      </c>
      <c r="P459" s="27" t="s">
        <v>1765</v>
      </c>
    </row>
    <row r="460" spans="1:16" ht="67.5" customHeight="1">
      <c r="A460" s="59" t="s">
        <v>1766</v>
      </c>
      <c r="B460" s="59" t="s">
        <v>8</v>
      </c>
      <c r="C460" s="59" t="s">
        <v>157</v>
      </c>
      <c r="D460" s="60">
        <v>66870554</v>
      </c>
      <c r="E460" s="59" t="s">
        <v>361</v>
      </c>
      <c r="F460" s="59" t="s">
        <v>1767</v>
      </c>
      <c r="G460" s="59">
        <v>1178</v>
      </c>
      <c r="H460" s="56">
        <v>45931</v>
      </c>
      <c r="I460" s="56">
        <v>46022</v>
      </c>
      <c r="J460" s="56">
        <v>46022</v>
      </c>
      <c r="K460" s="57">
        <v>6296105</v>
      </c>
      <c r="L460" s="28"/>
      <c r="M460" s="57">
        <v>6296105</v>
      </c>
      <c r="N460" s="28"/>
      <c r="O460" s="28"/>
      <c r="P460" s="28"/>
    </row>
    <row r="461" spans="1:16" ht="67.5" customHeight="1">
      <c r="A461" s="59" t="s">
        <v>1768</v>
      </c>
      <c r="B461" s="59" t="s">
        <v>40</v>
      </c>
      <c r="C461" s="59" t="s">
        <v>133</v>
      </c>
      <c r="D461" s="60">
        <v>1113778853</v>
      </c>
      <c r="E461" s="59" t="s">
        <v>1438</v>
      </c>
      <c r="F461" s="59" t="s">
        <v>1769</v>
      </c>
      <c r="G461" s="59">
        <v>1179</v>
      </c>
      <c r="H461" s="56">
        <v>45931</v>
      </c>
      <c r="I461" s="56">
        <v>46022</v>
      </c>
      <c r="J461" s="56">
        <v>46022</v>
      </c>
      <c r="K461" s="57">
        <v>6625205</v>
      </c>
      <c r="L461" s="28"/>
      <c r="M461" s="57">
        <v>6625205</v>
      </c>
      <c r="N461" s="28"/>
      <c r="O461" s="28"/>
      <c r="P461" s="28"/>
    </row>
    <row r="462" spans="1:16" ht="67.5" customHeight="1">
      <c r="A462" s="59" t="s">
        <v>1770</v>
      </c>
      <c r="B462" s="59" t="s">
        <v>51</v>
      </c>
      <c r="C462" s="59" t="s">
        <v>155</v>
      </c>
      <c r="D462" s="60">
        <v>14735221</v>
      </c>
      <c r="E462" s="59" t="s">
        <v>361</v>
      </c>
      <c r="F462" s="59" t="s">
        <v>1771</v>
      </c>
      <c r="G462" s="59">
        <v>1180</v>
      </c>
      <c r="H462" s="56">
        <v>45931</v>
      </c>
      <c r="I462" s="56">
        <v>46022</v>
      </c>
      <c r="J462" s="56">
        <v>46022</v>
      </c>
      <c r="K462" s="57">
        <v>7283403</v>
      </c>
      <c r="L462" s="28"/>
      <c r="M462" s="57">
        <v>7283403</v>
      </c>
      <c r="N462" s="28"/>
      <c r="O462" s="28"/>
      <c r="P462" s="28"/>
    </row>
    <row r="463" spans="1:16" ht="67.5" customHeight="1">
      <c r="A463" s="59" t="s">
        <v>1772</v>
      </c>
      <c r="B463" s="59" t="s">
        <v>51</v>
      </c>
      <c r="C463" s="59" t="s">
        <v>219</v>
      </c>
      <c r="D463" s="60">
        <v>1113785374</v>
      </c>
      <c r="E463" s="59" t="s">
        <v>361</v>
      </c>
      <c r="F463" s="59" t="s">
        <v>1773</v>
      </c>
      <c r="G463" s="59">
        <v>1181</v>
      </c>
      <c r="H463" s="56">
        <v>45931</v>
      </c>
      <c r="I463" s="56">
        <v>46022</v>
      </c>
      <c r="J463" s="56">
        <v>46022</v>
      </c>
      <c r="K463" s="57">
        <v>7283405</v>
      </c>
      <c r="L463" s="28"/>
      <c r="M463" s="57">
        <v>7283405</v>
      </c>
      <c r="N463" s="28"/>
      <c r="O463" s="28"/>
      <c r="P463" s="28"/>
    </row>
    <row r="464" spans="1:16" ht="67.5" customHeight="1">
      <c r="A464" s="59" t="s">
        <v>1774</v>
      </c>
      <c r="B464" s="59" t="s">
        <v>126</v>
      </c>
      <c r="C464" s="59" t="s">
        <v>127</v>
      </c>
      <c r="D464" s="60">
        <v>16552356</v>
      </c>
      <c r="E464" s="59" t="s">
        <v>361</v>
      </c>
      <c r="F464" s="59" t="s">
        <v>1775</v>
      </c>
      <c r="G464" s="59">
        <v>1182</v>
      </c>
      <c r="H464" s="56">
        <v>45931</v>
      </c>
      <c r="I464" s="56">
        <v>46022</v>
      </c>
      <c r="J464" s="56">
        <v>46022</v>
      </c>
      <c r="K464" s="57">
        <v>7283405</v>
      </c>
      <c r="L464" s="28"/>
      <c r="M464" s="57">
        <v>7283405</v>
      </c>
      <c r="N464" s="28"/>
      <c r="O464" s="28"/>
      <c r="P464" s="28"/>
    </row>
    <row r="465" spans="1:16" ht="67.5" customHeight="1">
      <c r="A465" s="59" t="s">
        <v>1776</v>
      </c>
      <c r="B465" s="59" t="s">
        <v>8</v>
      </c>
      <c r="C465" s="59" t="s">
        <v>175</v>
      </c>
      <c r="D465" s="60">
        <v>66702751</v>
      </c>
      <c r="E465" s="59" t="s">
        <v>361</v>
      </c>
      <c r="F465" s="59" t="s">
        <v>1777</v>
      </c>
      <c r="G465" s="59">
        <v>1183</v>
      </c>
      <c r="H465" s="56">
        <v>45931</v>
      </c>
      <c r="I465" s="56">
        <v>46022</v>
      </c>
      <c r="J465" s="56">
        <v>46022</v>
      </c>
      <c r="K465" s="57">
        <v>6296105</v>
      </c>
      <c r="L465" s="28"/>
      <c r="M465" s="57">
        <v>6296105</v>
      </c>
      <c r="N465" s="28"/>
      <c r="O465" s="28"/>
      <c r="P465" s="28"/>
    </row>
    <row r="466" spans="1:16" ht="67.5" customHeight="1">
      <c r="A466" s="59" t="s">
        <v>1778</v>
      </c>
      <c r="B466" s="59" t="s">
        <v>51</v>
      </c>
      <c r="C466" s="59" t="s">
        <v>124</v>
      </c>
      <c r="D466" s="60">
        <v>29899018</v>
      </c>
      <c r="E466" s="59" t="s">
        <v>361</v>
      </c>
      <c r="F466" s="59" t="s">
        <v>1779</v>
      </c>
      <c r="G466" s="59">
        <v>1184</v>
      </c>
      <c r="H466" s="56">
        <v>45931</v>
      </c>
      <c r="I466" s="56">
        <v>46022</v>
      </c>
      <c r="J466" s="56">
        <v>46022</v>
      </c>
      <c r="K466" s="57">
        <v>7283405</v>
      </c>
      <c r="L466" s="28"/>
      <c r="M466" s="57">
        <v>7283405</v>
      </c>
      <c r="N466" s="28"/>
      <c r="O466" s="28"/>
      <c r="P466" s="28"/>
    </row>
    <row r="467" spans="1:16" ht="67.5" customHeight="1">
      <c r="A467" s="59" t="s">
        <v>1780</v>
      </c>
      <c r="B467" s="59" t="s">
        <v>152</v>
      </c>
      <c r="C467" s="59" t="s">
        <v>153</v>
      </c>
      <c r="D467" s="59">
        <v>1113779682</v>
      </c>
      <c r="E467" s="59" t="s">
        <v>361</v>
      </c>
      <c r="F467" s="59" t="s">
        <v>1781</v>
      </c>
      <c r="G467" s="59">
        <v>1185</v>
      </c>
      <c r="H467" s="56">
        <v>45931</v>
      </c>
      <c r="I467" s="56">
        <v>46022</v>
      </c>
      <c r="J467" s="56">
        <v>46022</v>
      </c>
      <c r="K467" s="57">
        <v>6296105</v>
      </c>
      <c r="L467" s="28"/>
      <c r="M467" s="57">
        <v>6296105</v>
      </c>
      <c r="N467" s="28"/>
      <c r="O467" s="28"/>
      <c r="P467" s="28"/>
    </row>
    <row r="468" spans="1:16" ht="67.5" customHeight="1">
      <c r="A468" s="59" t="s">
        <v>1782</v>
      </c>
      <c r="B468" s="59" t="s">
        <v>8</v>
      </c>
      <c r="C468" s="59" t="s">
        <v>146</v>
      </c>
      <c r="D468" s="60">
        <v>29775834</v>
      </c>
      <c r="E468" s="59" t="s">
        <v>361</v>
      </c>
      <c r="F468" s="59" t="s">
        <v>1783</v>
      </c>
      <c r="G468" s="59">
        <v>1186</v>
      </c>
      <c r="H468" s="56">
        <v>45931</v>
      </c>
      <c r="I468" s="56">
        <v>46022</v>
      </c>
      <c r="J468" s="56">
        <v>46022</v>
      </c>
      <c r="K468" s="57">
        <v>6296105</v>
      </c>
      <c r="L468" s="28"/>
      <c r="M468" s="57">
        <v>6296105</v>
      </c>
      <c r="N468" s="28"/>
      <c r="O468" s="28"/>
      <c r="P468" s="28"/>
    </row>
    <row r="469" spans="1:16" ht="67.5" customHeight="1">
      <c r="A469" s="59" t="s">
        <v>1784</v>
      </c>
      <c r="B469" s="59" t="s">
        <v>8</v>
      </c>
      <c r="C469" s="59" t="s">
        <v>150</v>
      </c>
      <c r="D469" s="60">
        <v>29774920</v>
      </c>
      <c r="E469" s="59" t="s">
        <v>361</v>
      </c>
      <c r="F469" s="59" t="s">
        <v>1785</v>
      </c>
      <c r="G469" s="59">
        <v>1187</v>
      </c>
      <c r="H469" s="56">
        <v>45931</v>
      </c>
      <c r="I469" s="56">
        <v>46022</v>
      </c>
      <c r="J469" s="56">
        <v>46022</v>
      </c>
      <c r="K469" s="57">
        <v>6296105</v>
      </c>
      <c r="L469" s="28"/>
      <c r="M469" s="57">
        <v>6296105</v>
      </c>
      <c r="N469" s="28"/>
      <c r="O469" s="28"/>
      <c r="P469" s="28"/>
    </row>
    <row r="470" spans="1:16" ht="67.5" customHeight="1">
      <c r="A470" s="59" t="s">
        <v>1786</v>
      </c>
      <c r="B470" s="59" t="s">
        <v>126</v>
      </c>
      <c r="C470" s="59" t="s">
        <v>135</v>
      </c>
      <c r="D470" s="60">
        <v>94232689</v>
      </c>
      <c r="E470" s="59" t="s">
        <v>361</v>
      </c>
      <c r="F470" s="59" t="s">
        <v>1787</v>
      </c>
      <c r="G470" s="59">
        <v>1188</v>
      </c>
      <c r="H470" s="56">
        <v>45931</v>
      </c>
      <c r="I470" s="56">
        <v>46022</v>
      </c>
      <c r="J470" s="56">
        <v>46022</v>
      </c>
      <c r="K470" s="57">
        <v>7283405</v>
      </c>
      <c r="L470" s="28"/>
      <c r="M470" s="57">
        <v>7283405</v>
      </c>
      <c r="N470" s="28"/>
      <c r="O470" s="28"/>
      <c r="P470" s="28"/>
    </row>
    <row r="471" spans="1:16" ht="67.5" customHeight="1">
      <c r="A471" s="59" t="s">
        <v>1788</v>
      </c>
      <c r="B471" s="59" t="s">
        <v>8</v>
      </c>
      <c r="C471" s="59" t="s">
        <v>348</v>
      </c>
      <c r="D471" s="60">
        <v>66871919</v>
      </c>
      <c r="E471" s="59" t="s">
        <v>361</v>
      </c>
      <c r="F471" s="59" t="s">
        <v>1789</v>
      </c>
      <c r="G471" s="59">
        <v>1189</v>
      </c>
      <c r="H471" s="56">
        <v>45931</v>
      </c>
      <c r="I471" s="56">
        <v>46022</v>
      </c>
      <c r="J471" s="56">
        <v>46022</v>
      </c>
      <c r="K471" s="57">
        <v>6296105</v>
      </c>
      <c r="L471" s="28"/>
      <c r="M471" s="57">
        <v>6296105</v>
      </c>
      <c r="N471" s="28"/>
      <c r="O471" s="28"/>
      <c r="P471" s="28"/>
    </row>
    <row r="472" spans="1:16" ht="67.5" customHeight="1">
      <c r="A472" s="59" t="s">
        <v>1790</v>
      </c>
      <c r="B472" s="59" t="s">
        <v>209</v>
      </c>
      <c r="C472" s="59" t="s">
        <v>210</v>
      </c>
      <c r="D472" s="60">
        <v>66753870</v>
      </c>
      <c r="E472" s="59" t="s">
        <v>1499</v>
      </c>
      <c r="F472" s="59" t="s">
        <v>1791</v>
      </c>
      <c r="G472" s="59">
        <v>1190</v>
      </c>
      <c r="H472" s="56">
        <v>45931</v>
      </c>
      <c r="I472" s="56">
        <v>46022</v>
      </c>
      <c r="J472" s="56">
        <v>46022</v>
      </c>
      <c r="K472" s="57">
        <v>9880368</v>
      </c>
      <c r="L472" s="28"/>
      <c r="M472" s="57">
        <v>9880368</v>
      </c>
      <c r="N472" s="28"/>
      <c r="O472" s="28"/>
      <c r="P472" s="28"/>
    </row>
    <row r="473" spans="1:16" ht="67.5" customHeight="1">
      <c r="A473" s="59" t="s">
        <v>1792</v>
      </c>
      <c r="B473" s="59" t="s">
        <v>204</v>
      </c>
      <c r="C473" s="59" t="s">
        <v>205</v>
      </c>
      <c r="D473" s="60">
        <v>1113789202</v>
      </c>
      <c r="E473" s="59" t="s">
        <v>1499</v>
      </c>
      <c r="F473" s="59" t="s">
        <v>1793</v>
      </c>
      <c r="G473" s="59">
        <v>1191</v>
      </c>
      <c r="H473" s="56">
        <v>45931</v>
      </c>
      <c r="I473" s="56">
        <v>46022</v>
      </c>
      <c r="J473" s="56">
        <v>46022</v>
      </c>
      <c r="K473" s="57">
        <v>8957868</v>
      </c>
      <c r="L473" s="28"/>
      <c r="M473" s="57">
        <v>8957868</v>
      </c>
      <c r="N473" s="28"/>
      <c r="O473" s="28"/>
      <c r="P473" s="28"/>
    </row>
    <row r="474" spans="1:16" ht="67.5" customHeight="1">
      <c r="A474" s="59" t="s">
        <v>1794</v>
      </c>
      <c r="B474" s="59" t="s">
        <v>235</v>
      </c>
      <c r="C474" s="59" t="s">
        <v>236</v>
      </c>
      <c r="D474" s="60">
        <v>1007820654</v>
      </c>
      <c r="E474" s="59" t="s">
        <v>1499</v>
      </c>
      <c r="F474" s="59" t="s">
        <v>1795</v>
      </c>
      <c r="G474" s="59">
        <v>1192</v>
      </c>
      <c r="H474" s="56">
        <v>45931</v>
      </c>
      <c r="I474" s="56">
        <v>46022</v>
      </c>
      <c r="J474" s="56">
        <v>46022</v>
      </c>
      <c r="K474" s="57">
        <v>9880368</v>
      </c>
      <c r="L474" s="28"/>
      <c r="M474" s="57">
        <v>9880368</v>
      </c>
      <c r="N474" s="28"/>
      <c r="O474" s="28"/>
      <c r="P474" s="28"/>
    </row>
    <row r="475" spans="1:16" ht="67.5" customHeight="1">
      <c r="A475" s="59" t="s">
        <v>1796</v>
      </c>
      <c r="B475" s="59" t="s">
        <v>235</v>
      </c>
      <c r="C475" s="59" t="s">
        <v>344</v>
      </c>
      <c r="D475" s="60">
        <v>67026673</v>
      </c>
      <c r="E475" s="59" t="s">
        <v>1499</v>
      </c>
      <c r="F475" s="59" t="s">
        <v>1797</v>
      </c>
      <c r="G475" s="59">
        <v>1193</v>
      </c>
      <c r="H475" s="56">
        <v>45931</v>
      </c>
      <c r="I475" s="56">
        <v>46022</v>
      </c>
      <c r="J475" s="56">
        <v>46022</v>
      </c>
      <c r="K475" s="57">
        <v>9880368</v>
      </c>
      <c r="L475" s="28"/>
      <c r="M475" s="57">
        <v>9880368</v>
      </c>
      <c r="N475" s="28"/>
      <c r="O475" s="28"/>
      <c r="P475" s="28"/>
    </row>
    <row r="476" spans="1:16" ht="67.5" customHeight="1">
      <c r="A476" s="59" t="s">
        <v>1798</v>
      </c>
      <c r="B476" s="59" t="s">
        <v>258</v>
      </c>
      <c r="C476" s="59" t="s">
        <v>310</v>
      </c>
      <c r="D476" s="60">
        <v>1113790471</v>
      </c>
      <c r="E476" s="59" t="s">
        <v>1499</v>
      </c>
      <c r="F476" s="59" t="s">
        <v>1799</v>
      </c>
      <c r="G476" s="59">
        <v>1194</v>
      </c>
      <c r="H476" s="56">
        <v>45931</v>
      </c>
      <c r="I476" s="56">
        <v>46022</v>
      </c>
      <c r="J476" s="56">
        <v>46022</v>
      </c>
      <c r="K476" s="57">
        <v>6190369</v>
      </c>
      <c r="L476" s="28"/>
      <c r="M476" s="57">
        <v>6190369</v>
      </c>
      <c r="N476" s="28"/>
      <c r="O476" s="28"/>
      <c r="P476" s="28"/>
    </row>
    <row r="477" spans="1:16" ht="67.5" customHeight="1">
      <c r="A477" s="59" t="s">
        <v>1800</v>
      </c>
      <c r="B477" s="59" t="s">
        <v>8</v>
      </c>
      <c r="C477" s="59" t="s">
        <v>159</v>
      </c>
      <c r="D477" s="60">
        <v>1113788581</v>
      </c>
      <c r="E477" s="59" t="s">
        <v>361</v>
      </c>
      <c r="F477" s="59" t="s">
        <v>1801</v>
      </c>
      <c r="G477" s="59">
        <v>1195</v>
      </c>
      <c r="H477" s="56">
        <v>45931</v>
      </c>
      <c r="I477" s="56">
        <v>46022</v>
      </c>
      <c r="J477" s="56">
        <v>46022</v>
      </c>
      <c r="K477" s="57">
        <v>6296105</v>
      </c>
      <c r="L477" s="28"/>
      <c r="M477" s="57">
        <v>6296105</v>
      </c>
      <c r="N477" s="28"/>
      <c r="O477" s="28"/>
      <c r="P477" s="28"/>
    </row>
    <row r="478" spans="1:16" ht="67.5" customHeight="1">
      <c r="A478" s="59" t="s">
        <v>1802</v>
      </c>
      <c r="B478" s="59" t="s">
        <v>51</v>
      </c>
      <c r="C478" s="59" t="s">
        <v>131</v>
      </c>
      <c r="D478" s="60">
        <v>66872316</v>
      </c>
      <c r="E478" s="59" t="s">
        <v>361</v>
      </c>
      <c r="F478" s="59" t="s">
        <v>1803</v>
      </c>
      <c r="G478" s="59">
        <v>1196</v>
      </c>
      <c r="H478" s="56">
        <v>45931</v>
      </c>
      <c r="I478" s="56">
        <v>46022</v>
      </c>
      <c r="J478" s="56">
        <v>46022</v>
      </c>
      <c r="K478" s="57">
        <v>7283405</v>
      </c>
      <c r="L478" s="28"/>
      <c r="M478" s="57">
        <v>7283405</v>
      </c>
      <c r="N478" s="28"/>
      <c r="O478" s="28"/>
      <c r="P478" s="28"/>
    </row>
    <row r="479" spans="1:16" ht="67.5" customHeight="1">
      <c r="A479" s="59" t="s">
        <v>1804</v>
      </c>
      <c r="B479" s="59" t="s">
        <v>267</v>
      </c>
      <c r="C479" s="59" t="s">
        <v>268</v>
      </c>
      <c r="D479" s="60">
        <v>1007753558</v>
      </c>
      <c r="E479" s="59" t="s">
        <v>1499</v>
      </c>
      <c r="F479" s="59" t="s">
        <v>1805</v>
      </c>
      <c r="G479" s="59">
        <v>1197</v>
      </c>
      <c r="H479" s="56">
        <v>45931</v>
      </c>
      <c r="I479" s="56">
        <v>46022</v>
      </c>
      <c r="J479" s="56">
        <v>46022</v>
      </c>
      <c r="K479" s="57">
        <v>8650368</v>
      </c>
      <c r="L479" s="28"/>
      <c r="M479" s="57">
        <v>8650368</v>
      </c>
      <c r="N479" s="28"/>
      <c r="O479" s="28"/>
      <c r="P479" s="28"/>
    </row>
    <row r="480" spans="1:16" ht="67.5" customHeight="1">
      <c r="A480" s="59" t="s">
        <v>1806</v>
      </c>
      <c r="B480" s="59" t="s">
        <v>201</v>
      </c>
      <c r="C480" s="59" t="s">
        <v>202</v>
      </c>
      <c r="D480" s="60">
        <v>1113782860</v>
      </c>
      <c r="E480" s="59" t="s">
        <v>1499</v>
      </c>
      <c r="F480" s="59" t="s">
        <v>1807</v>
      </c>
      <c r="G480" s="59">
        <v>1198</v>
      </c>
      <c r="H480" s="56">
        <v>45931</v>
      </c>
      <c r="I480" s="56">
        <v>46022</v>
      </c>
      <c r="J480" s="56">
        <v>46022</v>
      </c>
      <c r="K480" s="57">
        <v>10500000</v>
      </c>
      <c r="L480" s="28"/>
      <c r="M480" s="57">
        <v>10500000</v>
      </c>
      <c r="N480" s="28"/>
      <c r="O480" s="28"/>
      <c r="P480" s="28"/>
    </row>
    <row r="481" spans="1:16" ht="67.5" customHeight="1">
      <c r="A481" s="59" t="s">
        <v>1808</v>
      </c>
      <c r="B481" s="59" t="s">
        <v>198</v>
      </c>
      <c r="C481" s="59" t="s">
        <v>199</v>
      </c>
      <c r="D481" s="60">
        <v>1114122497</v>
      </c>
      <c r="E481" s="59" t="s">
        <v>1499</v>
      </c>
      <c r="F481" s="59" t="s">
        <v>1809</v>
      </c>
      <c r="G481" s="59">
        <v>1199</v>
      </c>
      <c r="H481" s="56">
        <v>45931</v>
      </c>
      <c r="I481" s="56">
        <v>46022</v>
      </c>
      <c r="J481" s="56">
        <v>46022</v>
      </c>
      <c r="K481" s="57">
        <v>6190369</v>
      </c>
      <c r="L481" s="28"/>
      <c r="M481" s="57">
        <v>6190369</v>
      </c>
      <c r="N481" s="28"/>
      <c r="O481" s="28"/>
      <c r="P481" s="28"/>
    </row>
    <row r="482" spans="1:16" ht="67.5" customHeight="1">
      <c r="A482" s="59" t="s">
        <v>1810</v>
      </c>
      <c r="B482" s="59" t="s">
        <v>258</v>
      </c>
      <c r="C482" s="59" t="s">
        <v>259</v>
      </c>
      <c r="D482" s="60">
        <v>66873289</v>
      </c>
      <c r="E482" s="59" t="s">
        <v>372</v>
      </c>
      <c r="F482" s="59" t="s">
        <v>1811</v>
      </c>
      <c r="G482" s="59">
        <v>1200</v>
      </c>
      <c r="H482" s="56">
        <v>45931</v>
      </c>
      <c r="I482" s="56">
        <v>46022</v>
      </c>
      <c r="J482" s="56">
        <v>46022</v>
      </c>
      <c r="K482" s="57">
        <v>6805368</v>
      </c>
      <c r="L482" s="28"/>
      <c r="M482" s="57">
        <v>6805368</v>
      </c>
      <c r="N482" s="28"/>
      <c r="O482" s="28"/>
      <c r="P482" s="28"/>
    </row>
    <row r="483" spans="1:16" ht="67.5" customHeight="1">
      <c r="A483" s="59" t="s">
        <v>1812</v>
      </c>
      <c r="B483" s="59" t="s">
        <v>214</v>
      </c>
      <c r="C483" s="59" t="s">
        <v>246</v>
      </c>
      <c r="D483" s="60">
        <v>1006851239</v>
      </c>
      <c r="E483" s="59" t="s">
        <v>1534</v>
      </c>
      <c r="F483" s="59" t="s">
        <v>1813</v>
      </c>
      <c r="G483" s="59">
        <v>1201</v>
      </c>
      <c r="H483" s="65">
        <v>45932</v>
      </c>
      <c r="I483" s="65">
        <v>46022</v>
      </c>
      <c r="J483" s="65">
        <v>46022</v>
      </c>
      <c r="K483" s="57">
        <v>8001000</v>
      </c>
      <c r="L483" s="28"/>
      <c r="M483" s="57">
        <v>8001000</v>
      </c>
      <c r="N483" s="28"/>
      <c r="O483" s="28"/>
      <c r="P483" s="28"/>
    </row>
    <row r="484" spans="1:16" ht="67.5" customHeight="1">
      <c r="A484" s="59" t="s">
        <v>1814</v>
      </c>
      <c r="B484" s="59" t="s">
        <v>43</v>
      </c>
      <c r="C484" s="59" t="s">
        <v>44</v>
      </c>
      <c r="D484" s="60">
        <v>66872998</v>
      </c>
      <c r="E484" s="59" t="s">
        <v>361</v>
      </c>
      <c r="F484" s="59" t="s">
        <v>1815</v>
      </c>
      <c r="G484" s="59">
        <v>1202</v>
      </c>
      <c r="H484" s="65">
        <v>45932</v>
      </c>
      <c r="I484" s="65">
        <v>46022</v>
      </c>
      <c r="J484" s="65">
        <v>46022</v>
      </c>
      <c r="K484" s="57">
        <v>6625205</v>
      </c>
      <c r="L484" s="28"/>
      <c r="M484" s="57">
        <v>6625205</v>
      </c>
      <c r="N484" s="28"/>
      <c r="O484" s="28"/>
      <c r="P484" s="28"/>
    </row>
    <row r="485" spans="1:16" ht="67.5" customHeight="1">
      <c r="A485" s="59" t="s">
        <v>1816</v>
      </c>
      <c r="B485" s="59" t="s">
        <v>177</v>
      </c>
      <c r="C485" s="59" t="s">
        <v>189</v>
      </c>
      <c r="D485" s="60">
        <v>16698012</v>
      </c>
      <c r="E485" s="59" t="s">
        <v>361</v>
      </c>
      <c r="F485" s="59" t="s">
        <v>1817</v>
      </c>
      <c r="G485" s="59">
        <v>1203</v>
      </c>
      <c r="H485" s="65">
        <v>45932</v>
      </c>
      <c r="I485" s="65">
        <v>46022</v>
      </c>
      <c r="J485" s="65">
        <v>46022</v>
      </c>
      <c r="K485" s="57">
        <v>7420368</v>
      </c>
      <c r="L485" s="28"/>
      <c r="M485" s="57">
        <v>7420368</v>
      </c>
      <c r="N485" s="28"/>
      <c r="O485" s="28"/>
      <c r="P485" s="28"/>
    </row>
    <row r="486" spans="1:16" ht="67.5" customHeight="1">
      <c r="A486" s="59" t="s">
        <v>1818</v>
      </c>
      <c r="B486" s="59" t="s">
        <v>214</v>
      </c>
      <c r="C486" s="59" t="s">
        <v>217</v>
      </c>
      <c r="D486" s="60">
        <v>1113785743</v>
      </c>
      <c r="E486" s="59" t="s">
        <v>1534</v>
      </c>
      <c r="F486" s="59" t="s">
        <v>1819</v>
      </c>
      <c r="G486" s="59">
        <v>1204</v>
      </c>
      <c r="H486" s="65">
        <v>45932</v>
      </c>
      <c r="I486" s="65">
        <v>46022</v>
      </c>
      <c r="J486" s="65">
        <v>46022</v>
      </c>
      <c r="K486" s="57">
        <v>8001000</v>
      </c>
      <c r="L486" s="28"/>
      <c r="M486" s="57">
        <v>8001000</v>
      </c>
      <c r="N486" s="28"/>
      <c r="O486" s="28"/>
      <c r="P486" s="28"/>
    </row>
    <row r="487" spans="1:16" ht="67.5" customHeight="1">
      <c r="A487" s="59" t="s">
        <v>1820</v>
      </c>
      <c r="B487" s="59" t="s">
        <v>54</v>
      </c>
      <c r="C487" s="59" t="s">
        <v>83</v>
      </c>
      <c r="D487" s="60">
        <v>1113783534</v>
      </c>
      <c r="E487" s="59" t="s">
        <v>1438</v>
      </c>
      <c r="F487" s="59" t="s">
        <v>1821</v>
      </c>
      <c r="G487" s="59">
        <v>1205</v>
      </c>
      <c r="H487" s="65">
        <v>45932</v>
      </c>
      <c r="I487" s="65">
        <v>46022</v>
      </c>
      <c r="J487" s="65">
        <v>46022</v>
      </c>
      <c r="K487" s="57">
        <v>6625205</v>
      </c>
      <c r="L487" s="28"/>
      <c r="M487" s="57">
        <v>6625205</v>
      </c>
      <c r="N487" s="28"/>
      <c r="O487" s="28"/>
      <c r="P487" s="28"/>
    </row>
    <row r="488" spans="1:16" ht="67.5" customHeight="1">
      <c r="A488" s="59" t="s">
        <v>1822</v>
      </c>
      <c r="B488" s="59" t="s">
        <v>209</v>
      </c>
      <c r="C488" s="59" t="s">
        <v>212</v>
      </c>
      <c r="D488" s="60">
        <v>1113782407</v>
      </c>
      <c r="E488" s="59" t="s">
        <v>1499</v>
      </c>
      <c r="F488" s="59" t="s">
        <v>1823</v>
      </c>
      <c r="G488" s="59">
        <v>1206</v>
      </c>
      <c r="H488" s="65">
        <v>45932</v>
      </c>
      <c r="I488" s="65">
        <v>46022</v>
      </c>
      <c r="J488" s="65">
        <v>46022</v>
      </c>
      <c r="K488" s="57">
        <v>9880368</v>
      </c>
      <c r="L488" s="28"/>
      <c r="M488" s="57">
        <v>9880368</v>
      </c>
      <c r="N488" s="28"/>
      <c r="O488" s="28"/>
      <c r="P488" s="28"/>
    </row>
    <row r="489" spans="1:16" ht="67.5" customHeight="1">
      <c r="A489" s="59" t="s">
        <v>1824</v>
      </c>
      <c r="B489" s="59" t="s">
        <v>214</v>
      </c>
      <c r="C489" s="59" t="s">
        <v>225</v>
      </c>
      <c r="D489" s="60">
        <v>1113785647</v>
      </c>
      <c r="E489" s="59" t="s">
        <v>1534</v>
      </c>
      <c r="F489" s="59" t="s">
        <v>1825</v>
      </c>
      <c r="G489" s="59">
        <v>1207</v>
      </c>
      <c r="H489" s="65">
        <v>45932</v>
      </c>
      <c r="I489" s="65">
        <v>46022</v>
      </c>
      <c r="J489" s="65">
        <v>46022</v>
      </c>
      <c r="K489" s="57">
        <v>7353300</v>
      </c>
      <c r="L489" s="28"/>
      <c r="M489" s="57">
        <v>7353300</v>
      </c>
      <c r="N489" s="28"/>
      <c r="O489" s="28"/>
      <c r="P489" s="28"/>
    </row>
    <row r="490" spans="1:16" ht="67.5" customHeight="1">
      <c r="A490" s="59" t="s">
        <v>1826</v>
      </c>
      <c r="B490" s="59" t="s">
        <v>46</v>
      </c>
      <c r="C490" s="59" t="s">
        <v>47</v>
      </c>
      <c r="D490" s="60">
        <v>1007550027</v>
      </c>
      <c r="E490" s="59" t="s">
        <v>361</v>
      </c>
      <c r="F490" s="59" t="s">
        <v>1827</v>
      </c>
      <c r="G490" s="59">
        <v>1208</v>
      </c>
      <c r="H490" s="65">
        <v>45932</v>
      </c>
      <c r="I490" s="65">
        <v>46022</v>
      </c>
      <c r="J490" s="65">
        <v>46022</v>
      </c>
      <c r="K490" s="57">
        <v>9703323</v>
      </c>
      <c r="L490" s="28"/>
      <c r="M490" s="57">
        <v>9703323</v>
      </c>
      <c r="N490" s="28"/>
      <c r="O490" s="28"/>
      <c r="P490" s="28"/>
    </row>
    <row r="491" spans="1:16" ht="67.5" customHeight="1">
      <c r="A491" s="59" t="s">
        <v>1828</v>
      </c>
      <c r="B491" s="59" t="s">
        <v>168</v>
      </c>
      <c r="C491" s="59" t="s">
        <v>169</v>
      </c>
      <c r="D491" s="60">
        <v>1113791651</v>
      </c>
      <c r="E491" s="59" t="s">
        <v>361</v>
      </c>
      <c r="F491" s="59" t="s">
        <v>1829</v>
      </c>
      <c r="G491" s="59">
        <v>1209</v>
      </c>
      <c r="H491" s="65">
        <v>45932</v>
      </c>
      <c r="I491" s="65">
        <v>46022</v>
      </c>
      <c r="J491" s="65">
        <v>46022</v>
      </c>
      <c r="K491" s="57">
        <v>9703323</v>
      </c>
      <c r="L491" s="28"/>
      <c r="M491" s="57">
        <v>9703323</v>
      </c>
      <c r="N491" s="28"/>
      <c r="O491" s="28"/>
      <c r="P491" s="28"/>
    </row>
    <row r="492" spans="1:16" ht="67.5" customHeight="1">
      <c r="A492" s="59" t="s">
        <v>1830</v>
      </c>
      <c r="B492" s="59" t="s">
        <v>214</v>
      </c>
      <c r="C492" s="59" t="s">
        <v>263</v>
      </c>
      <c r="D492" s="60">
        <v>1113778146</v>
      </c>
      <c r="E492" s="59" t="s">
        <v>1534</v>
      </c>
      <c r="F492" s="59" t="s">
        <v>1831</v>
      </c>
      <c r="G492" s="59">
        <v>1210</v>
      </c>
      <c r="H492" s="65">
        <v>45932</v>
      </c>
      <c r="I492" s="65">
        <v>46022</v>
      </c>
      <c r="J492" s="65">
        <v>46022</v>
      </c>
      <c r="K492" s="57">
        <v>7467600</v>
      </c>
      <c r="L492" s="28"/>
      <c r="M492" s="57">
        <v>7467600</v>
      </c>
      <c r="N492" s="28"/>
      <c r="O492" s="28"/>
      <c r="P492" s="28"/>
    </row>
    <row r="493" spans="1:16" ht="67.5" customHeight="1">
      <c r="A493" s="59" t="s">
        <v>1832</v>
      </c>
      <c r="B493" s="59" t="s">
        <v>214</v>
      </c>
      <c r="C493" s="59" t="s">
        <v>227</v>
      </c>
      <c r="D493" s="60">
        <v>1113787869</v>
      </c>
      <c r="E493" s="59" t="s">
        <v>1534</v>
      </c>
      <c r="F493" s="59" t="s">
        <v>1833</v>
      </c>
      <c r="G493" s="59">
        <v>1211</v>
      </c>
      <c r="H493" s="65">
        <v>45932</v>
      </c>
      <c r="I493" s="65">
        <v>46022</v>
      </c>
      <c r="J493" s="65">
        <v>46022</v>
      </c>
      <c r="K493" s="57">
        <v>8686800</v>
      </c>
      <c r="L493" s="28"/>
      <c r="M493" s="57">
        <v>8686800</v>
      </c>
      <c r="N493" s="28"/>
      <c r="O493" s="28"/>
      <c r="P493" s="28"/>
    </row>
    <row r="494" spans="1:16" ht="67.5" customHeight="1">
      <c r="A494" s="59" t="s">
        <v>1834</v>
      </c>
      <c r="B494" s="59" t="s">
        <v>214</v>
      </c>
      <c r="C494" s="59" t="s">
        <v>242</v>
      </c>
      <c r="D494" s="60">
        <v>1088288852</v>
      </c>
      <c r="E494" s="59" t="s">
        <v>1534</v>
      </c>
      <c r="F494" s="59" t="s">
        <v>1835</v>
      </c>
      <c r="G494" s="59">
        <v>1212</v>
      </c>
      <c r="H494" s="65">
        <v>45932</v>
      </c>
      <c r="I494" s="65">
        <v>46022</v>
      </c>
      <c r="J494" s="65">
        <v>46022</v>
      </c>
      <c r="K494" s="57">
        <v>7543800</v>
      </c>
      <c r="L494" s="28"/>
      <c r="M494" s="57">
        <v>7543800</v>
      </c>
      <c r="N494" s="28"/>
      <c r="O494" s="28"/>
      <c r="P494" s="28"/>
    </row>
    <row r="495" spans="1:16" ht="67.5" customHeight="1">
      <c r="A495" s="59" t="s">
        <v>1836</v>
      </c>
      <c r="B495" s="59" t="s">
        <v>335</v>
      </c>
      <c r="C495" s="59" t="s">
        <v>346</v>
      </c>
      <c r="D495" s="60">
        <v>1113790873</v>
      </c>
      <c r="E495" s="59" t="s">
        <v>1534</v>
      </c>
      <c r="F495" s="59" t="s">
        <v>1837</v>
      </c>
      <c r="G495" s="59">
        <v>1213</v>
      </c>
      <c r="H495" s="65">
        <v>45932</v>
      </c>
      <c r="I495" s="65">
        <v>46022</v>
      </c>
      <c r="J495" s="65">
        <v>46022</v>
      </c>
      <c r="K495" s="57">
        <v>8686800</v>
      </c>
      <c r="L495" s="28"/>
      <c r="M495" s="57">
        <v>8686800</v>
      </c>
      <c r="N495" s="28"/>
      <c r="O495" s="28"/>
      <c r="P495" s="28"/>
    </row>
    <row r="496" spans="1:16" ht="67.5" customHeight="1">
      <c r="A496" s="59" t="s">
        <v>1838</v>
      </c>
      <c r="B496" s="59" t="s">
        <v>214</v>
      </c>
      <c r="C496" s="59" t="s">
        <v>221</v>
      </c>
      <c r="D496" s="60">
        <v>1113789528</v>
      </c>
      <c r="E496" s="59" t="s">
        <v>1534</v>
      </c>
      <c r="F496" s="59" t="s">
        <v>1839</v>
      </c>
      <c r="G496" s="59">
        <v>1214</v>
      </c>
      <c r="H496" s="65">
        <v>45932</v>
      </c>
      <c r="I496" s="65">
        <v>46022</v>
      </c>
      <c r="J496" s="65">
        <v>46022</v>
      </c>
      <c r="K496" s="57">
        <v>8763000</v>
      </c>
      <c r="L496" s="28"/>
      <c r="M496" s="57">
        <v>8763000</v>
      </c>
      <c r="N496" s="28"/>
      <c r="O496" s="28"/>
      <c r="P496" s="28"/>
    </row>
    <row r="497" spans="1:16" ht="67.5" customHeight="1">
      <c r="A497" s="59" t="s">
        <v>1840</v>
      </c>
      <c r="B497" s="59" t="s">
        <v>214</v>
      </c>
      <c r="C497" s="59" t="s">
        <v>261</v>
      </c>
      <c r="D497" s="60">
        <v>1112632165</v>
      </c>
      <c r="E497" s="59" t="s">
        <v>1534</v>
      </c>
      <c r="F497" s="59" t="s">
        <v>1841</v>
      </c>
      <c r="G497" s="59">
        <v>1215</v>
      </c>
      <c r="H497" s="65">
        <v>45932</v>
      </c>
      <c r="I497" s="65">
        <v>46022</v>
      </c>
      <c r="J497" s="65">
        <v>46022</v>
      </c>
      <c r="K497" s="57">
        <v>8458200</v>
      </c>
      <c r="L497" s="28"/>
      <c r="M497" s="57">
        <v>8458200</v>
      </c>
      <c r="N497" s="28"/>
      <c r="O497" s="28"/>
      <c r="P497" s="28"/>
    </row>
    <row r="498" spans="1:16" ht="67.5" customHeight="1">
      <c r="A498" s="59" t="s">
        <v>1842</v>
      </c>
      <c r="B498" s="59" t="s">
        <v>214</v>
      </c>
      <c r="C498" s="59" t="s">
        <v>254</v>
      </c>
      <c r="D498" s="60">
        <v>64575445</v>
      </c>
      <c r="E498" s="59" t="s">
        <v>1534</v>
      </c>
      <c r="F498" s="59" t="s">
        <v>1843</v>
      </c>
      <c r="G498" s="59">
        <v>1216</v>
      </c>
      <c r="H498" s="65">
        <v>45932</v>
      </c>
      <c r="I498" s="65">
        <v>46022</v>
      </c>
      <c r="J498" s="65">
        <v>46022</v>
      </c>
      <c r="K498" s="57">
        <v>8229600</v>
      </c>
      <c r="L498" s="28"/>
      <c r="M498" s="57">
        <v>8229600</v>
      </c>
      <c r="N498" s="28"/>
      <c r="O498" s="28"/>
      <c r="P498" s="28"/>
    </row>
    <row r="499" spans="1:16" ht="67.5" customHeight="1">
      <c r="A499" s="59" t="s">
        <v>1844</v>
      </c>
      <c r="B499" s="59" t="s">
        <v>214</v>
      </c>
      <c r="C499" s="59" t="s">
        <v>265</v>
      </c>
      <c r="D499" s="60">
        <v>1116071093</v>
      </c>
      <c r="E499" s="59" t="s">
        <v>1534</v>
      </c>
      <c r="F499" s="59" t="s">
        <v>1845</v>
      </c>
      <c r="G499" s="59">
        <v>1217</v>
      </c>
      <c r="H499" s="65">
        <v>45932</v>
      </c>
      <c r="I499" s="65">
        <v>46022</v>
      </c>
      <c r="J499" s="65">
        <v>46022</v>
      </c>
      <c r="K499" s="57">
        <v>7772400</v>
      </c>
      <c r="L499" s="28"/>
      <c r="M499" s="57">
        <v>7772400</v>
      </c>
      <c r="N499" s="28"/>
      <c r="O499" s="28"/>
      <c r="P499" s="28"/>
    </row>
    <row r="500" spans="1:16" ht="67.5" customHeight="1">
      <c r="A500" s="59" t="s">
        <v>1846</v>
      </c>
      <c r="B500" s="59" t="s">
        <v>214</v>
      </c>
      <c r="C500" s="59" t="s">
        <v>229</v>
      </c>
      <c r="D500" s="60">
        <v>1113787301</v>
      </c>
      <c r="E500" s="59" t="s">
        <v>1534</v>
      </c>
      <c r="F500" s="59" t="s">
        <v>1847</v>
      </c>
      <c r="G500" s="59">
        <v>1218</v>
      </c>
      <c r="H500" s="65">
        <v>45932</v>
      </c>
      <c r="I500" s="65">
        <v>46022</v>
      </c>
      <c r="J500" s="65">
        <v>46022</v>
      </c>
      <c r="K500" s="57">
        <v>9372600</v>
      </c>
      <c r="L500" s="28"/>
      <c r="M500" s="57">
        <v>9372600</v>
      </c>
      <c r="N500" s="28"/>
      <c r="O500" s="28"/>
      <c r="P500" s="28"/>
    </row>
    <row r="501" spans="1:16" ht="67.5" customHeight="1">
      <c r="A501" s="59" t="s">
        <v>1848</v>
      </c>
      <c r="B501" s="59" t="s">
        <v>214</v>
      </c>
      <c r="C501" s="59" t="s">
        <v>1849</v>
      </c>
      <c r="D501" s="60">
        <v>1113778636</v>
      </c>
      <c r="E501" s="59" t="s">
        <v>1534</v>
      </c>
      <c r="F501" s="59" t="s">
        <v>1850</v>
      </c>
      <c r="G501" s="59">
        <v>1219</v>
      </c>
      <c r="H501" s="65">
        <v>45932</v>
      </c>
      <c r="I501" s="65">
        <v>46022</v>
      </c>
      <c r="J501" s="65">
        <v>46022</v>
      </c>
      <c r="K501" s="57">
        <v>7772400</v>
      </c>
      <c r="L501" s="28"/>
      <c r="M501" s="57">
        <v>7772400</v>
      </c>
      <c r="N501" s="28"/>
      <c r="O501" s="28"/>
      <c r="P501" s="28"/>
    </row>
    <row r="502" spans="1:16" ht="67.5" customHeight="1">
      <c r="A502" s="59" t="s">
        <v>1851</v>
      </c>
      <c r="B502" s="59" t="s">
        <v>32</v>
      </c>
      <c r="C502" s="59" t="s">
        <v>270</v>
      </c>
      <c r="D502" s="60">
        <v>66872491</v>
      </c>
      <c r="E502" s="59" t="s">
        <v>1562</v>
      </c>
      <c r="F502" s="59" t="s">
        <v>1852</v>
      </c>
      <c r="G502" s="59">
        <v>1220</v>
      </c>
      <c r="H502" s="65">
        <v>45932</v>
      </c>
      <c r="I502" s="65">
        <v>46022</v>
      </c>
      <c r="J502" s="65">
        <v>46022</v>
      </c>
      <c r="K502" s="57">
        <v>7467600</v>
      </c>
      <c r="L502" s="28"/>
      <c r="M502" s="57">
        <v>7467600</v>
      </c>
      <c r="N502" s="28"/>
      <c r="O502" s="28"/>
      <c r="P502" s="28"/>
    </row>
    <row r="503" spans="1:16" ht="67.5" customHeight="1">
      <c r="A503" s="59" t="s">
        <v>1853</v>
      </c>
      <c r="B503" s="59" t="s">
        <v>338</v>
      </c>
      <c r="C503" s="59" t="s">
        <v>339</v>
      </c>
      <c r="D503" s="60">
        <v>66871013</v>
      </c>
      <c r="E503" s="59" t="s">
        <v>1534</v>
      </c>
      <c r="F503" s="59" t="s">
        <v>1854</v>
      </c>
      <c r="G503" s="59">
        <v>1221</v>
      </c>
      <c r="H503" s="65">
        <v>45932</v>
      </c>
      <c r="I503" s="65">
        <v>46022</v>
      </c>
      <c r="J503" s="65">
        <v>46022</v>
      </c>
      <c r="K503" s="57">
        <v>9753600</v>
      </c>
      <c r="L503" s="28"/>
      <c r="M503" s="57">
        <v>9753600</v>
      </c>
      <c r="N503" s="28"/>
      <c r="O503" s="28"/>
      <c r="P503" s="28"/>
    </row>
    <row r="504" spans="1:16" ht="67.5" customHeight="1">
      <c r="A504" s="59" t="s">
        <v>1855</v>
      </c>
      <c r="B504" s="59" t="s">
        <v>214</v>
      </c>
      <c r="C504" s="59" t="s">
        <v>223</v>
      </c>
      <c r="D504" s="60">
        <v>1112631947</v>
      </c>
      <c r="E504" s="59" t="s">
        <v>1534</v>
      </c>
      <c r="F504" s="59" t="s">
        <v>1856</v>
      </c>
      <c r="G504" s="59">
        <v>1222</v>
      </c>
      <c r="H504" s="65">
        <v>45932</v>
      </c>
      <c r="I504" s="65">
        <v>46022</v>
      </c>
      <c r="J504" s="65">
        <v>46022</v>
      </c>
      <c r="K504" s="57">
        <v>6629400</v>
      </c>
      <c r="L504" s="28"/>
      <c r="M504" s="57">
        <v>6629400</v>
      </c>
      <c r="N504" s="28"/>
      <c r="O504" s="28"/>
      <c r="P504" s="28"/>
    </row>
    <row r="505" spans="1:16" ht="67.5" customHeight="1">
      <c r="A505" s="59" t="s">
        <v>1857</v>
      </c>
      <c r="B505" s="59" t="s">
        <v>29</v>
      </c>
      <c r="C505" s="59" t="s">
        <v>30</v>
      </c>
      <c r="D505" s="60">
        <v>1116132951</v>
      </c>
      <c r="E505" s="59" t="s">
        <v>1499</v>
      </c>
      <c r="F505" s="59" t="s">
        <v>1858</v>
      </c>
      <c r="G505" s="59">
        <v>1223</v>
      </c>
      <c r="H505" s="65">
        <v>45932</v>
      </c>
      <c r="I505" s="65">
        <v>46022</v>
      </c>
      <c r="J505" s="65">
        <v>46022</v>
      </c>
      <c r="K505" s="57">
        <v>7467600</v>
      </c>
      <c r="L505" s="28"/>
      <c r="M505" s="57">
        <v>7467600</v>
      </c>
      <c r="N505" s="28"/>
      <c r="O505" s="28"/>
      <c r="P505" s="28"/>
    </row>
    <row r="506" spans="1:16" ht="67.5" customHeight="1">
      <c r="A506" s="59" t="s">
        <v>1859</v>
      </c>
      <c r="B506" s="59" t="s">
        <v>214</v>
      </c>
      <c r="C506" s="59" t="s">
        <v>244</v>
      </c>
      <c r="D506" s="60">
        <v>1130589789</v>
      </c>
      <c r="E506" s="59" t="s">
        <v>1534</v>
      </c>
      <c r="F506" s="59" t="s">
        <v>1860</v>
      </c>
      <c r="G506" s="59">
        <v>1224</v>
      </c>
      <c r="H506" s="65">
        <v>45932</v>
      </c>
      <c r="I506" s="65">
        <v>46022</v>
      </c>
      <c r="J506" s="65">
        <v>46022</v>
      </c>
      <c r="K506" s="57">
        <v>8229600</v>
      </c>
      <c r="L506" s="28"/>
      <c r="M506" s="57">
        <v>8229600</v>
      </c>
      <c r="N506" s="28"/>
      <c r="O506" s="28"/>
      <c r="P506" s="28"/>
    </row>
    <row r="507" spans="1:16" ht="67.5" customHeight="1">
      <c r="A507" s="59" t="s">
        <v>1861</v>
      </c>
      <c r="B507" s="59" t="s">
        <v>29</v>
      </c>
      <c r="C507" s="59" t="s">
        <v>231</v>
      </c>
      <c r="D507" s="60">
        <v>1007452265</v>
      </c>
      <c r="E507" s="59" t="s">
        <v>1499</v>
      </c>
      <c r="F507" s="59" t="s">
        <v>1862</v>
      </c>
      <c r="G507" s="59">
        <v>1225</v>
      </c>
      <c r="H507" s="65">
        <v>45932</v>
      </c>
      <c r="I507" s="65">
        <v>46022</v>
      </c>
      <c r="J507" s="65">
        <v>46022</v>
      </c>
      <c r="K507" s="57">
        <v>8229600</v>
      </c>
      <c r="L507" s="28"/>
      <c r="M507" s="57">
        <v>8229600</v>
      </c>
      <c r="N507" s="28"/>
      <c r="O507" s="28"/>
      <c r="P507" s="28"/>
    </row>
    <row r="508" spans="1:16" ht="67.5" customHeight="1">
      <c r="A508" s="59" t="s">
        <v>1863</v>
      </c>
      <c r="B508" s="59" t="s">
        <v>214</v>
      </c>
      <c r="C508" s="59" t="s">
        <v>240</v>
      </c>
      <c r="D508" s="60">
        <v>1116443874</v>
      </c>
      <c r="E508" s="59" t="s">
        <v>1534</v>
      </c>
      <c r="F508" s="59" t="s">
        <v>1864</v>
      </c>
      <c r="G508" s="59">
        <v>1226</v>
      </c>
      <c r="H508" s="65">
        <v>45932</v>
      </c>
      <c r="I508" s="65">
        <v>46022</v>
      </c>
      <c r="J508" s="65">
        <v>46022</v>
      </c>
      <c r="K508" s="57">
        <v>8229600</v>
      </c>
      <c r="L508" s="28"/>
      <c r="M508" s="57">
        <v>8229600</v>
      </c>
      <c r="N508" s="28"/>
      <c r="O508" s="28"/>
      <c r="P508" s="28"/>
    </row>
    <row r="509" spans="1:16" ht="67.5" customHeight="1">
      <c r="A509" s="59" t="s">
        <v>1865</v>
      </c>
      <c r="B509" s="59" t="s">
        <v>32</v>
      </c>
      <c r="C509" s="59" t="s">
        <v>33</v>
      </c>
      <c r="D509" s="60">
        <v>38793086</v>
      </c>
      <c r="E509" s="59" t="s">
        <v>1562</v>
      </c>
      <c r="F509" s="59" t="s">
        <v>1866</v>
      </c>
      <c r="G509" s="59">
        <v>1227</v>
      </c>
      <c r="H509" s="65">
        <v>45932</v>
      </c>
      <c r="I509" s="65">
        <v>46022</v>
      </c>
      <c r="J509" s="65">
        <v>46022</v>
      </c>
      <c r="K509" s="57">
        <v>7696200</v>
      </c>
      <c r="L509" s="28"/>
      <c r="M509" s="57">
        <v>7696200</v>
      </c>
      <c r="N509" s="28"/>
      <c r="O509" s="28"/>
      <c r="P509" s="28"/>
    </row>
    <row r="510" spans="1:16" ht="67.5" customHeight="1">
      <c r="A510" s="59" t="s">
        <v>1867</v>
      </c>
      <c r="B510" s="59" t="s">
        <v>32</v>
      </c>
      <c r="C510" s="59" t="s">
        <v>274</v>
      </c>
      <c r="D510" s="60">
        <v>1113793019</v>
      </c>
      <c r="E510" s="59" t="s">
        <v>1562</v>
      </c>
      <c r="F510" s="59" t="s">
        <v>1868</v>
      </c>
      <c r="G510" s="59">
        <v>1228</v>
      </c>
      <c r="H510" s="65">
        <v>45932</v>
      </c>
      <c r="I510" s="65">
        <v>46022</v>
      </c>
      <c r="J510" s="65">
        <v>46022</v>
      </c>
      <c r="K510" s="57">
        <v>7696200</v>
      </c>
      <c r="L510" s="28"/>
      <c r="M510" s="57">
        <v>7696200</v>
      </c>
      <c r="N510" s="28"/>
      <c r="O510" s="28"/>
      <c r="P510" s="28"/>
    </row>
    <row r="511" spans="1:16" ht="67.5" customHeight="1">
      <c r="A511" s="59" t="s">
        <v>1869</v>
      </c>
      <c r="B511" s="59" t="s">
        <v>335</v>
      </c>
      <c r="C511" s="59" t="s">
        <v>336</v>
      </c>
      <c r="D511" s="60">
        <v>1113778556</v>
      </c>
      <c r="E511" s="59" t="s">
        <v>1534</v>
      </c>
      <c r="F511" s="59" t="s">
        <v>1870</v>
      </c>
      <c r="G511" s="59">
        <v>1229</v>
      </c>
      <c r="H511" s="65">
        <v>45932</v>
      </c>
      <c r="I511" s="65">
        <v>46022</v>
      </c>
      <c r="J511" s="65">
        <v>46022</v>
      </c>
      <c r="K511" s="57">
        <v>8229600</v>
      </c>
      <c r="L511" s="28"/>
      <c r="M511" s="57">
        <v>8229600</v>
      </c>
      <c r="N511" s="28"/>
      <c r="O511" s="28"/>
      <c r="P511" s="28"/>
    </row>
    <row r="512" spans="1:16" ht="67.5" customHeight="1">
      <c r="A512" s="59" t="s">
        <v>1871</v>
      </c>
      <c r="B512" s="59" t="s">
        <v>29</v>
      </c>
      <c r="C512" s="59" t="s">
        <v>256</v>
      </c>
      <c r="D512" s="60">
        <v>1113789810</v>
      </c>
      <c r="E512" s="59" t="s">
        <v>1499</v>
      </c>
      <c r="F512" s="59" t="s">
        <v>1872</v>
      </c>
      <c r="G512" s="59">
        <v>1230</v>
      </c>
      <c r="H512" s="65">
        <v>45932</v>
      </c>
      <c r="I512" s="65">
        <v>46022</v>
      </c>
      <c r="J512" s="65">
        <v>46022</v>
      </c>
      <c r="K512" s="57">
        <v>6858000</v>
      </c>
      <c r="L512" s="28"/>
      <c r="M512" s="57">
        <v>6858000</v>
      </c>
      <c r="N512" s="28"/>
      <c r="O512" s="28"/>
      <c r="P512" s="28"/>
    </row>
    <row r="513" spans="1:16" ht="67.5" customHeight="1">
      <c r="A513" s="59" t="s">
        <v>1873</v>
      </c>
      <c r="B513" s="59" t="s">
        <v>29</v>
      </c>
      <c r="C513" s="59" t="s">
        <v>250</v>
      </c>
      <c r="D513" s="60">
        <v>1114120456</v>
      </c>
      <c r="E513" s="59" t="s">
        <v>1499</v>
      </c>
      <c r="F513" s="59" t="s">
        <v>1874</v>
      </c>
      <c r="G513" s="59">
        <v>1231</v>
      </c>
      <c r="H513" s="65">
        <v>45932</v>
      </c>
      <c r="I513" s="65">
        <v>46022</v>
      </c>
      <c r="J513" s="65">
        <v>46022</v>
      </c>
      <c r="K513" s="57">
        <v>8382000</v>
      </c>
      <c r="L513" s="28"/>
      <c r="M513" s="57">
        <v>8382000</v>
      </c>
      <c r="N513" s="28"/>
      <c r="O513" s="28"/>
      <c r="P513" s="28"/>
    </row>
    <row r="514" spans="1:16" ht="67.5" customHeight="1">
      <c r="A514" s="74" t="s">
        <v>1875</v>
      </c>
      <c r="B514" s="74" t="s">
        <v>235</v>
      </c>
      <c r="C514" s="59" t="s">
        <v>238</v>
      </c>
      <c r="D514" s="60">
        <v>1116439218</v>
      </c>
      <c r="E514" s="59" t="s">
        <v>1499</v>
      </c>
      <c r="F514" s="59" t="s">
        <v>1876</v>
      </c>
      <c r="G514" s="59">
        <v>1232</v>
      </c>
      <c r="H514" s="65">
        <v>45932</v>
      </c>
      <c r="I514" s="65">
        <v>46022</v>
      </c>
      <c r="J514" s="65">
        <v>46022</v>
      </c>
      <c r="K514" s="57">
        <v>9880368</v>
      </c>
      <c r="L514" s="28"/>
      <c r="M514" s="57">
        <v>9880368</v>
      </c>
      <c r="N514" s="28"/>
      <c r="O514" s="28"/>
      <c r="P514" s="28"/>
    </row>
    <row r="515" spans="1:16" ht="67.5" customHeight="1">
      <c r="A515" s="59" t="s">
        <v>1877</v>
      </c>
      <c r="B515" s="59" t="s">
        <v>323</v>
      </c>
      <c r="C515" s="59" t="s">
        <v>324</v>
      </c>
      <c r="D515" s="60">
        <v>1113785484</v>
      </c>
      <c r="E515" s="59" t="s">
        <v>1499</v>
      </c>
      <c r="F515" s="59" t="s">
        <v>1878</v>
      </c>
      <c r="G515" s="59">
        <v>1233</v>
      </c>
      <c r="H515" s="65">
        <v>45932</v>
      </c>
      <c r="I515" s="65">
        <v>46022</v>
      </c>
      <c r="J515" s="65">
        <v>46022</v>
      </c>
      <c r="K515" s="57">
        <v>8957868</v>
      </c>
      <c r="L515" s="28"/>
      <c r="M515" s="57">
        <v>8957868</v>
      </c>
      <c r="N515" s="28"/>
      <c r="O515" s="28"/>
      <c r="P515" s="28"/>
    </row>
    <row r="516" spans="1:16" ht="67.5" customHeight="1">
      <c r="A516" s="59" t="s">
        <v>1879</v>
      </c>
      <c r="B516" s="59" t="s">
        <v>1880</v>
      </c>
      <c r="C516" s="59" t="s">
        <v>1881</v>
      </c>
      <c r="D516" s="60">
        <v>1006289924</v>
      </c>
      <c r="E516" s="59" t="s">
        <v>1499</v>
      </c>
      <c r="F516" s="59" t="s">
        <v>1882</v>
      </c>
      <c r="G516" s="59">
        <v>1234</v>
      </c>
      <c r="H516" s="65">
        <v>45932</v>
      </c>
      <c r="I516" s="65">
        <v>46022</v>
      </c>
      <c r="J516" s="65">
        <v>46022</v>
      </c>
      <c r="K516" s="57">
        <v>7420368</v>
      </c>
      <c r="L516" s="28"/>
      <c r="M516" s="57">
        <v>7420368</v>
      </c>
      <c r="N516" s="28"/>
      <c r="O516" s="28"/>
      <c r="P516" s="28"/>
    </row>
    <row r="517" spans="1:16" ht="67.5" customHeight="1">
      <c r="A517" s="59" t="s">
        <v>1883</v>
      </c>
      <c r="B517" s="59" t="s">
        <v>32</v>
      </c>
      <c r="C517" s="59" t="s">
        <v>278</v>
      </c>
      <c r="D517" s="60">
        <v>1116435878</v>
      </c>
      <c r="E517" s="59" t="s">
        <v>1562</v>
      </c>
      <c r="F517" s="59" t="s">
        <v>1884</v>
      </c>
      <c r="G517" s="59">
        <v>1235</v>
      </c>
      <c r="H517" s="65">
        <v>45932</v>
      </c>
      <c r="I517" s="65">
        <v>46022</v>
      </c>
      <c r="J517" s="65">
        <v>46022</v>
      </c>
      <c r="K517" s="57">
        <v>7467600</v>
      </c>
      <c r="L517" s="28"/>
      <c r="M517" s="57">
        <v>7467600</v>
      </c>
      <c r="N517" s="28"/>
      <c r="O517" s="28"/>
      <c r="P517" s="28"/>
    </row>
    <row r="518" spans="1:16" ht="67.5" customHeight="1">
      <c r="A518" s="59" t="s">
        <v>1885</v>
      </c>
      <c r="B518" s="59" t="s">
        <v>29</v>
      </c>
      <c r="C518" s="59" t="s">
        <v>283</v>
      </c>
      <c r="D518" s="60">
        <v>66701201</v>
      </c>
      <c r="E518" s="59" t="s">
        <v>1499</v>
      </c>
      <c r="F518" s="59" t="s">
        <v>1886</v>
      </c>
      <c r="G518" s="59">
        <v>1236</v>
      </c>
      <c r="H518" s="65">
        <v>45932</v>
      </c>
      <c r="I518" s="65">
        <v>46022</v>
      </c>
      <c r="J518" s="65">
        <v>46022</v>
      </c>
      <c r="K518" s="57">
        <v>7277100</v>
      </c>
      <c r="L518" s="28"/>
      <c r="M518" s="57">
        <v>7277100</v>
      </c>
      <c r="N518" s="28"/>
      <c r="O518" s="28"/>
      <c r="P518" s="28"/>
    </row>
    <row r="519" spans="1:16" ht="67.5" customHeight="1">
      <c r="A519" s="59" t="s">
        <v>1887</v>
      </c>
      <c r="B519" s="59" t="s">
        <v>35</v>
      </c>
      <c r="C519" s="59" t="s">
        <v>36</v>
      </c>
      <c r="D519" s="60">
        <v>1113793556</v>
      </c>
      <c r="E519" s="59" t="s">
        <v>1534</v>
      </c>
      <c r="F519" s="59" t="s">
        <v>1888</v>
      </c>
      <c r="G519" s="59">
        <v>1237</v>
      </c>
      <c r="H519" s="65">
        <v>45932</v>
      </c>
      <c r="I519" s="65">
        <v>46022</v>
      </c>
      <c r="J519" s="65">
        <v>46022</v>
      </c>
      <c r="K519" s="57">
        <v>11760000</v>
      </c>
      <c r="L519" s="28"/>
      <c r="M519" s="57">
        <v>11760000</v>
      </c>
      <c r="N519" s="28"/>
      <c r="O519" s="28"/>
      <c r="P519" s="28"/>
    </row>
    <row r="520" spans="1:16" ht="67.5" customHeight="1">
      <c r="A520" s="59" t="s">
        <v>1889</v>
      </c>
      <c r="B520" s="59" t="s">
        <v>35</v>
      </c>
      <c r="C520" s="59" t="s">
        <v>306</v>
      </c>
      <c r="D520" s="60">
        <v>1113787803</v>
      </c>
      <c r="E520" s="59" t="s">
        <v>1534</v>
      </c>
      <c r="F520" s="59" t="s">
        <v>1890</v>
      </c>
      <c r="G520" s="59">
        <v>1238</v>
      </c>
      <c r="H520" s="65">
        <v>45932</v>
      </c>
      <c r="I520" s="65">
        <v>46022</v>
      </c>
      <c r="J520" s="65">
        <v>46022</v>
      </c>
      <c r="K520" s="57">
        <v>11160000</v>
      </c>
      <c r="L520" s="28"/>
      <c r="M520" s="57">
        <v>11160000</v>
      </c>
      <c r="N520" s="28"/>
      <c r="O520" s="28"/>
      <c r="P520" s="28"/>
    </row>
    <row r="521" spans="1:16" ht="67.5" customHeight="1">
      <c r="A521" s="59" t="s">
        <v>1891</v>
      </c>
      <c r="B521" s="59" t="s">
        <v>32</v>
      </c>
      <c r="C521" s="59" t="s">
        <v>308</v>
      </c>
      <c r="D521" s="60">
        <v>1113786857</v>
      </c>
      <c r="E521" s="59" t="s">
        <v>1562</v>
      </c>
      <c r="F521" s="59" t="s">
        <v>1892</v>
      </c>
      <c r="G521" s="59">
        <v>1239</v>
      </c>
      <c r="H521" s="65">
        <v>45932</v>
      </c>
      <c r="I521" s="65">
        <v>46022</v>
      </c>
      <c r="J521" s="65">
        <v>46022</v>
      </c>
      <c r="K521" s="57">
        <v>7467600</v>
      </c>
      <c r="L521" s="28"/>
      <c r="M521" s="57">
        <v>7467600</v>
      </c>
      <c r="N521" s="28"/>
      <c r="O521" s="28"/>
      <c r="P521" s="28"/>
    </row>
    <row r="522" spans="1:16" ht="67.5" customHeight="1">
      <c r="A522" s="59" t="s">
        <v>1893</v>
      </c>
      <c r="B522" s="59" t="s">
        <v>1894</v>
      </c>
      <c r="C522" s="59" t="s">
        <v>276</v>
      </c>
      <c r="D522" s="60">
        <v>1116437726</v>
      </c>
      <c r="E522" s="59" t="s">
        <v>1562</v>
      </c>
      <c r="F522" s="59" t="s">
        <v>1821</v>
      </c>
      <c r="G522" s="59">
        <v>1240</v>
      </c>
      <c r="H522" s="65">
        <v>45933</v>
      </c>
      <c r="I522" s="65">
        <v>46022</v>
      </c>
      <c r="J522" s="65">
        <v>46022</v>
      </c>
      <c r="K522" s="57">
        <v>7467600</v>
      </c>
      <c r="L522" s="28"/>
      <c r="M522" s="57">
        <v>7467600</v>
      </c>
      <c r="N522" s="28"/>
      <c r="O522" s="28"/>
      <c r="P522" s="28"/>
    </row>
    <row r="523" spans="1:16" ht="67.5" customHeight="1">
      <c r="A523" s="59" t="s">
        <v>1895</v>
      </c>
      <c r="B523" s="59" t="s">
        <v>1896</v>
      </c>
      <c r="C523" s="59" t="s">
        <v>330</v>
      </c>
      <c r="D523" s="60">
        <v>66872579</v>
      </c>
      <c r="E523" s="59" t="s">
        <v>1499</v>
      </c>
      <c r="F523" s="59" t="s">
        <v>1821</v>
      </c>
      <c r="G523" s="59">
        <v>1241</v>
      </c>
      <c r="H523" s="65">
        <v>45933</v>
      </c>
      <c r="I523" s="65">
        <v>46022</v>
      </c>
      <c r="J523" s="65">
        <v>46022</v>
      </c>
      <c r="K523" s="57">
        <v>10495368</v>
      </c>
      <c r="L523" s="28"/>
      <c r="M523" s="57">
        <v>10495368</v>
      </c>
      <c r="N523" s="28"/>
      <c r="O523" s="28"/>
      <c r="P523" s="28"/>
    </row>
    <row r="524" spans="1:16" ht="67.5" customHeight="1">
      <c r="A524" s="59" t="s">
        <v>1897</v>
      </c>
      <c r="B524" s="59" t="s">
        <v>35</v>
      </c>
      <c r="C524" s="59" t="s">
        <v>288</v>
      </c>
      <c r="D524" s="60">
        <v>1114209649</v>
      </c>
      <c r="E524" s="59" t="s">
        <v>1534</v>
      </c>
      <c r="F524" s="59" t="s">
        <v>1898</v>
      </c>
      <c r="G524" s="59">
        <v>1242</v>
      </c>
      <c r="H524" s="65">
        <v>45933</v>
      </c>
      <c r="I524" s="65">
        <v>46022</v>
      </c>
      <c r="J524" s="65">
        <v>46022</v>
      </c>
      <c r="K524" s="57">
        <v>11760000</v>
      </c>
      <c r="L524" s="28"/>
      <c r="M524" s="57">
        <v>11760000</v>
      </c>
      <c r="N524" s="28"/>
      <c r="O524" s="28"/>
      <c r="P524" s="28"/>
    </row>
    <row r="525" spans="1:16" ht="67.5" customHeight="1">
      <c r="A525" s="59" t="s">
        <v>1899</v>
      </c>
      <c r="B525" s="59" t="s">
        <v>35</v>
      </c>
      <c r="C525" s="59" t="s">
        <v>297</v>
      </c>
      <c r="D525" s="60">
        <v>1114211708</v>
      </c>
      <c r="E525" s="59" t="s">
        <v>1534</v>
      </c>
      <c r="F525" s="59" t="s">
        <v>1900</v>
      </c>
      <c r="G525" s="59">
        <v>1243</v>
      </c>
      <c r="H525" s="65">
        <v>45933</v>
      </c>
      <c r="I525" s="65">
        <v>46022</v>
      </c>
      <c r="J525" s="65">
        <v>46022</v>
      </c>
      <c r="K525" s="57">
        <v>11760000</v>
      </c>
      <c r="L525" s="28"/>
      <c r="M525" s="57">
        <v>11760000</v>
      </c>
      <c r="N525" s="28"/>
      <c r="O525" s="28"/>
      <c r="P525" s="28"/>
    </row>
    <row r="526" spans="1:16" ht="67.5" customHeight="1">
      <c r="A526" s="59" t="s">
        <v>1901</v>
      </c>
      <c r="B526" s="59" t="s">
        <v>1902</v>
      </c>
      <c r="C526" s="59" t="s">
        <v>1903</v>
      </c>
      <c r="D526" s="60">
        <v>1116277928</v>
      </c>
      <c r="E526" s="59" t="s">
        <v>1499</v>
      </c>
      <c r="F526" s="59" t="s">
        <v>1904</v>
      </c>
      <c r="G526" s="59">
        <v>1244</v>
      </c>
      <c r="H526" s="65">
        <v>45933</v>
      </c>
      <c r="I526" s="65">
        <v>46022</v>
      </c>
      <c r="J526" s="65">
        <v>46022</v>
      </c>
      <c r="K526" s="57">
        <v>10495368</v>
      </c>
      <c r="L526" s="28"/>
      <c r="M526" s="57">
        <v>10495368</v>
      </c>
      <c r="N526" s="28"/>
      <c r="O526" s="28"/>
      <c r="P526" s="28"/>
    </row>
    <row r="527" spans="1:16" ht="67.5" customHeight="1">
      <c r="A527" s="59" t="s">
        <v>1905</v>
      </c>
      <c r="B527" s="59" t="s">
        <v>1894</v>
      </c>
      <c r="C527" s="59" t="s">
        <v>38</v>
      </c>
      <c r="D527" s="60">
        <v>1113790335</v>
      </c>
      <c r="E527" s="59" t="s">
        <v>1562</v>
      </c>
      <c r="F527" s="59" t="s">
        <v>1906</v>
      </c>
      <c r="G527" s="59">
        <v>1245</v>
      </c>
      <c r="H527" s="65">
        <v>45933</v>
      </c>
      <c r="I527" s="65">
        <v>46022</v>
      </c>
      <c r="J527" s="65">
        <v>46022</v>
      </c>
      <c r="K527" s="57">
        <v>7467600</v>
      </c>
      <c r="L527" s="28"/>
      <c r="M527" s="57">
        <v>7467600</v>
      </c>
      <c r="N527" s="28"/>
      <c r="O527" s="28"/>
      <c r="P527" s="28"/>
    </row>
    <row r="528" spans="1:16" ht="67.5" customHeight="1">
      <c r="A528" s="59" t="s">
        <v>1907</v>
      </c>
      <c r="B528" s="59" t="s">
        <v>1908</v>
      </c>
      <c r="C528" s="59" t="s">
        <v>292</v>
      </c>
      <c r="D528" s="60">
        <v>1116435552</v>
      </c>
      <c r="E528" s="59" t="s">
        <v>1499</v>
      </c>
      <c r="F528" s="59" t="s">
        <v>1909</v>
      </c>
      <c r="G528" s="59">
        <v>1246</v>
      </c>
      <c r="H528" s="65">
        <v>45933</v>
      </c>
      <c r="I528" s="65">
        <v>46022</v>
      </c>
      <c r="J528" s="65">
        <v>46022</v>
      </c>
      <c r="K528" s="57">
        <v>10495368</v>
      </c>
      <c r="L528" s="28"/>
      <c r="M528" s="57">
        <v>10495368</v>
      </c>
      <c r="N528" s="28"/>
      <c r="O528" s="28"/>
      <c r="P528" s="28"/>
    </row>
    <row r="529" spans="1:16" ht="67.5" customHeight="1">
      <c r="A529" s="59" t="s">
        <v>1910</v>
      </c>
      <c r="B529" s="59" t="s">
        <v>35</v>
      </c>
      <c r="C529" s="59" t="s">
        <v>299</v>
      </c>
      <c r="D529" s="60">
        <v>1113792989</v>
      </c>
      <c r="E529" s="59" t="s">
        <v>1534</v>
      </c>
      <c r="F529" s="59" t="s">
        <v>1911</v>
      </c>
      <c r="G529" s="59">
        <v>1247</v>
      </c>
      <c r="H529" s="65">
        <v>45933</v>
      </c>
      <c r="I529" s="65">
        <v>46022</v>
      </c>
      <c r="J529" s="65">
        <v>46022</v>
      </c>
      <c r="K529" s="57">
        <v>11760000</v>
      </c>
      <c r="L529" s="28"/>
      <c r="M529" s="57">
        <v>11760000</v>
      </c>
      <c r="N529" s="28"/>
      <c r="O529" s="28"/>
      <c r="P529" s="28"/>
    </row>
    <row r="530" spans="1:16" ht="67.5" customHeight="1">
      <c r="A530" s="59" t="s">
        <v>1912</v>
      </c>
      <c r="B530" s="59" t="s">
        <v>1913</v>
      </c>
      <c r="C530" s="59" t="s">
        <v>1914</v>
      </c>
      <c r="D530" s="60">
        <v>1116276849</v>
      </c>
      <c r="E530" s="59" t="s">
        <v>353</v>
      </c>
      <c r="F530" s="59" t="s">
        <v>1915</v>
      </c>
      <c r="G530" s="59">
        <v>1323</v>
      </c>
      <c r="H530" s="65">
        <v>45933</v>
      </c>
      <c r="I530" s="65">
        <v>46022</v>
      </c>
      <c r="J530" s="65">
        <v>46022</v>
      </c>
      <c r="K530" s="57">
        <v>33000000</v>
      </c>
      <c r="L530" s="28"/>
      <c r="M530" s="57">
        <v>33000000</v>
      </c>
      <c r="N530" s="28"/>
      <c r="O530" s="28"/>
      <c r="P530" s="28"/>
    </row>
    <row r="531" spans="1:16" ht="67.5" customHeight="1">
      <c r="A531" s="59" t="s">
        <v>1916</v>
      </c>
      <c r="B531" s="59" t="s">
        <v>35</v>
      </c>
      <c r="C531" s="59" t="s">
        <v>318</v>
      </c>
      <c r="D531" s="60">
        <v>1053837206</v>
      </c>
      <c r="E531" s="59" t="s">
        <v>1534</v>
      </c>
      <c r="F531" s="59" t="s">
        <v>1917</v>
      </c>
      <c r="G531" s="59">
        <v>1248</v>
      </c>
      <c r="H531" s="65">
        <v>45933</v>
      </c>
      <c r="I531" s="65">
        <v>46022</v>
      </c>
      <c r="J531" s="65">
        <v>46022</v>
      </c>
      <c r="K531" s="57">
        <v>12120000</v>
      </c>
      <c r="L531" s="28"/>
      <c r="M531" s="57">
        <v>12120000</v>
      </c>
      <c r="N531" s="28"/>
      <c r="O531" s="28"/>
      <c r="P531" s="28"/>
    </row>
    <row r="532" spans="1:16" ht="67.5" customHeight="1">
      <c r="A532" s="59" t="s">
        <v>1918</v>
      </c>
      <c r="B532" s="59" t="s">
        <v>1919</v>
      </c>
      <c r="C532" s="59" t="s">
        <v>1920</v>
      </c>
      <c r="D532" s="60">
        <v>11144122294</v>
      </c>
      <c r="E532" s="59" t="s">
        <v>1499</v>
      </c>
      <c r="F532" s="59" t="s">
        <v>1921</v>
      </c>
      <c r="G532" s="59">
        <v>1249</v>
      </c>
      <c r="H532" s="65">
        <v>45933</v>
      </c>
      <c r="I532" s="65">
        <v>46022</v>
      </c>
      <c r="J532" s="65">
        <v>46022</v>
      </c>
      <c r="K532" s="57">
        <v>12000000</v>
      </c>
      <c r="L532" s="28"/>
      <c r="M532" s="57">
        <v>12000000</v>
      </c>
      <c r="N532" s="28"/>
      <c r="O532" s="28"/>
      <c r="P532" s="28"/>
    </row>
    <row r="533" spans="1:16" ht="67.5" customHeight="1">
      <c r="A533" s="59" t="s">
        <v>1922</v>
      </c>
      <c r="B533" s="59" t="s">
        <v>1919</v>
      </c>
      <c r="C533" s="59" t="s">
        <v>327</v>
      </c>
      <c r="D533" s="60">
        <v>1112632152</v>
      </c>
      <c r="E533" s="59" t="s">
        <v>1499</v>
      </c>
      <c r="F533" s="59" t="s">
        <v>1923</v>
      </c>
      <c r="G533" s="59">
        <v>1250</v>
      </c>
      <c r="H533" s="65">
        <v>45933</v>
      </c>
      <c r="I533" s="65">
        <v>46022</v>
      </c>
      <c r="J533" s="65">
        <v>46022</v>
      </c>
      <c r="K533" s="57">
        <v>12000000</v>
      </c>
      <c r="L533" s="28"/>
      <c r="M533" s="57">
        <v>12000000</v>
      </c>
      <c r="N533" s="28"/>
      <c r="O533" s="28"/>
      <c r="P533" s="28"/>
    </row>
    <row r="534" spans="1:16" ht="67.5" customHeight="1">
      <c r="A534" s="59" t="s">
        <v>1924</v>
      </c>
      <c r="B534" s="59" t="s">
        <v>1919</v>
      </c>
      <c r="C534" s="59" t="s">
        <v>290</v>
      </c>
      <c r="D534" s="60">
        <v>1113793594</v>
      </c>
      <c r="E534" s="59" t="s">
        <v>1499</v>
      </c>
      <c r="F534" s="59" t="s">
        <v>1925</v>
      </c>
      <c r="G534" s="59">
        <v>1251</v>
      </c>
      <c r="H534" s="65">
        <v>45933</v>
      </c>
      <c r="I534" s="65">
        <v>46022</v>
      </c>
      <c r="J534" s="65">
        <v>46022</v>
      </c>
      <c r="K534" s="57">
        <v>12000000</v>
      </c>
      <c r="L534" s="28"/>
      <c r="M534" s="57">
        <v>12000000</v>
      </c>
      <c r="N534" s="28"/>
      <c r="O534" s="28"/>
      <c r="P534" s="28"/>
    </row>
    <row r="535" spans="1:16" ht="67.5" customHeight="1">
      <c r="A535" s="59" t="s">
        <v>1926</v>
      </c>
      <c r="B535" s="59" t="s">
        <v>1913</v>
      </c>
      <c r="C535" s="59" t="s">
        <v>1927</v>
      </c>
      <c r="D535" s="60">
        <v>1114122354</v>
      </c>
      <c r="E535" s="59" t="s">
        <v>353</v>
      </c>
      <c r="F535" s="59" t="s">
        <v>1928</v>
      </c>
      <c r="G535" s="59">
        <v>1252</v>
      </c>
      <c r="H535" s="65">
        <v>45933</v>
      </c>
      <c r="I535" s="65">
        <v>46022</v>
      </c>
      <c r="J535" s="65">
        <v>46022</v>
      </c>
      <c r="K535" s="57">
        <v>33000000</v>
      </c>
      <c r="L535" s="28"/>
      <c r="M535" s="57">
        <v>33000000</v>
      </c>
      <c r="N535" s="28"/>
      <c r="O535" s="28"/>
      <c r="P535" s="28"/>
    </row>
    <row r="536" spans="1:16" ht="67.5" customHeight="1">
      <c r="A536" s="59" t="s">
        <v>1929</v>
      </c>
      <c r="B536" s="59" t="s">
        <v>1913</v>
      </c>
      <c r="C536" s="59" t="s">
        <v>1930</v>
      </c>
      <c r="D536" s="60">
        <v>1007753121</v>
      </c>
      <c r="E536" s="59" t="s">
        <v>353</v>
      </c>
      <c r="F536" s="59" t="s">
        <v>1931</v>
      </c>
      <c r="G536" s="59">
        <v>1253</v>
      </c>
      <c r="H536" s="65">
        <v>45933</v>
      </c>
      <c r="I536" s="65">
        <v>46022</v>
      </c>
      <c r="J536" s="65">
        <v>46022</v>
      </c>
      <c r="K536" s="57">
        <v>33000000</v>
      </c>
      <c r="L536" s="28"/>
      <c r="M536" s="57">
        <v>33000000</v>
      </c>
      <c r="N536" s="28"/>
      <c r="O536" s="28"/>
      <c r="P536" s="28"/>
    </row>
    <row r="537" spans="1:16" ht="67.5" customHeight="1">
      <c r="A537" s="59" t="s">
        <v>1932</v>
      </c>
      <c r="B537" s="59" t="s">
        <v>1933</v>
      </c>
      <c r="C537" s="59" t="s">
        <v>192</v>
      </c>
      <c r="D537" s="60">
        <v>1113793226</v>
      </c>
      <c r="E537" s="59" t="s">
        <v>1499</v>
      </c>
      <c r="F537" s="59" t="s">
        <v>1934</v>
      </c>
      <c r="G537" s="59">
        <v>1254</v>
      </c>
      <c r="H537" s="65">
        <v>45933</v>
      </c>
      <c r="I537" s="65">
        <v>46022</v>
      </c>
      <c r="J537" s="65">
        <v>46022</v>
      </c>
      <c r="K537" s="57">
        <v>6805368</v>
      </c>
      <c r="L537" s="28"/>
      <c r="M537" s="57">
        <v>6805368</v>
      </c>
      <c r="N537" s="28"/>
      <c r="O537" s="28"/>
      <c r="P537" s="28"/>
    </row>
    <row r="538" spans="1:16" ht="67.5" customHeight="1">
      <c r="A538" s="59" t="s">
        <v>1935</v>
      </c>
      <c r="B538" s="59" t="s">
        <v>1913</v>
      </c>
      <c r="C538" s="59" t="s">
        <v>1936</v>
      </c>
      <c r="D538" s="60">
        <v>1112784429</v>
      </c>
      <c r="E538" s="59" t="s">
        <v>353</v>
      </c>
      <c r="F538" s="59" t="s">
        <v>1937</v>
      </c>
      <c r="G538" s="59">
        <v>1255</v>
      </c>
      <c r="H538" s="65">
        <v>45933</v>
      </c>
      <c r="I538" s="65">
        <v>46022</v>
      </c>
      <c r="J538" s="65">
        <v>46022</v>
      </c>
      <c r="K538" s="57">
        <v>33000000</v>
      </c>
      <c r="L538" s="28"/>
      <c r="M538" s="57">
        <v>33000000</v>
      </c>
      <c r="N538" s="28"/>
      <c r="O538" s="28"/>
      <c r="P538" s="28"/>
    </row>
    <row r="539" spans="1:16" ht="67.5" customHeight="1">
      <c r="A539" s="59" t="s">
        <v>1938</v>
      </c>
      <c r="B539" s="59" t="s">
        <v>1913</v>
      </c>
      <c r="C539" s="59" t="s">
        <v>1939</v>
      </c>
      <c r="D539" s="60">
        <v>1116260821</v>
      </c>
      <c r="E539" s="59" t="s">
        <v>353</v>
      </c>
      <c r="F539" s="59" t="s">
        <v>1940</v>
      </c>
      <c r="G539" s="59">
        <v>1256</v>
      </c>
      <c r="H539" s="65">
        <v>45933</v>
      </c>
      <c r="I539" s="65">
        <v>46022</v>
      </c>
      <c r="J539" s="65">
        <v>46022</v>
      </c>
      <c r="K539" s="57">
        <v>33000000</v>
      </c>
      <c r="L539" s="28"/>
      <c r="M539" s="57">
        <v>33000000</v>
      </c>
      <c r="N539" s="28"/>
      <c r="O539" s="28"/>
      <c r="P539" s="28"/>
    </row>
    <row r="540" spans="1:16" ht="67.5" customHeight="1">
      <c r="A540" s="59" t="s">
        <v>1941</v>
      </c>
      <c r="B540" s="59" t="s">
        <v>1913</v>
      </c>
      <c r="C540" s="59" t="s">
        <v>1942</v>
      </c>
      <c r="D540" s="60">
        <v>1144080493</v>
      </c>
      <c r="E540" s="59" t="s">
        <v>353</v>
      </c>
      <c r="F540" s="59" t="s">
        <v>1943</v>
      </c>
      <c r="G540" s="59">
        <v>1257</v>
      </c>
      <c r="H540" s="65">
        <v>45933</v>
      </c>
      <c r="I540" s="65">
        <v>46022</v>
      </c>
      <c r="J540" s="65">
        <v>46022</v>
      </c>
      <c r="K540" s="57">
        <v>33000000</v>
      </c>
      <c r="L540" s="28"/>
      <c r="M540" s="57">
        <v>33000000</v>
      </c>
      <c r="N540" s="28"/>
      <c r="O540" s="28"/>
      <c r="P540" s="28"/>
    </row>
    <row r="541" spans="1:16" ht="67.5" customHeight="1">
      <c r="A541" s="59" t="s">
        <v>1944</v>
      </c>
      <c r="B541" s="59" t="s">
        <v>1945</v>
      </c>
      <c r="C541" s="59" t="s">
        <v>1946</v>
      </c>
      <c r="D541" s="60">
        <v>1116271589</v>
      </c>
      <c r="E541" s="20" t="s">
        <v>353</v>
      </c>
      <c r="F541" s="59" t="s">
        <v>1947</v>
      </c>
      <c r="G541" s="59">
        <v>1258</v>
      </c>
      <c r="H541" s="65">
        <v>45933</v>
      </c>
      <c r="I541" s="65">
        <v>46022</v>
      </c>
      <c r="J541" s="65">
        <v>46022</v>
      </c>
      <c r="K541" s="57">
        <v>33000000</v>
      </c>
      <c r="L541" s="28"/>
      <c r="M541" s="57">
        <v>33000000</v>
      </c>
      <c r="N541" s="28"/>
      <c r="O541" s="28"/>
      <c r="P541" s="28"/>
    </row>
    <row r="542" spans="1:16" ht="67.5" customHeight="1">
      <c r="A542" s="59" t="s">
        <v>1948</v>
      </c>
      <c r="B542" s="59" t="s">
        <v>1945</v>
      </c>
      <c r="C542" s="59" t="s">
        <v>1949</v>
      </c>
      <c r="D542" s="60">
        <v>1007630618</v>
      </c>
      <c r="E542" s="20" t="s">
        <v>353</v>
      </c>
      <c r="F542" s="59" t="s">
        <v>1950</v>
      </c>
      <c r="G542" s="59">
        <v>1259</v>
      </c>
      <c r="H542" s="65">
        <v>45933</v>
      </c>
      <c r="I542" s="65">
        <v>46022</v>
      </c>
      <c r="J542" s="65">
        <v>46022</v>
      </c>
      <c r="K542" s="57">
        <v>33000000</v>
      </c>
      <c r="L542" s="28"/>
      <c r="M542" s="57">
        <v>33000000</v>
      </c>
      <c r="N542" s="28"/>
      <c r="O542" s="28"/>
      <c r="P542" s="28"/>
    </row>
    <row r="543" spans="1:16" ht="67.5" customHeight="1">
      <c r="A543" s="59" t="s">
        <v>1951</v>
      </c>
      <c r="B543" s="59" t="s">
        <v>320</v>
      </c>
      <c r="C543" s="59" t="s">
        <v>321</v>
      </c>
      <c r="D543" s="60">
        <v>1113791296</v>
      </c>
      <c r="E543" s="59" t="s">
        <v>1534</v>
      </c>
      <c r="F543" s="59" t="s">
        <v>1952</v>
      </c>
      <c r="G543" s="59">
        <v>1260</v>
      </c>
      <c r="H543" s="65">
        <v>45933</v>
      </c>
      <c r="I543" s="65">
        <v>46022</v>
      </c>
      <c r="J543" s="65">
        <v>46022</v>
      </c>
      <c r="K543" s="57">
        <v>10495368</v>
      </c>
      <c r="L543" s="28"/>
      <c r="M543" s="57">
        <v>10495368</v>
      </c>
      <c r="N543" s="28"/>
      <c r="O543" s="28"/>
      <c r="P543" s="28"/>
    </row>
    <row r="544" spans="1:16" ht="67.5" customHeight="1">
      <c r="A544" s="59" t="s">
        <v>1953</v>
      </c>
      <c r="B544" s="59" t="s">
        <v>285</v>
      </c>
      <c r="C544" s="59" t="s">
        <v>286</v>
      </c>
      <c r="D544" s="60">
        <v>1114120238</v>
      </c>
      <c r="E544" s="59" t="s">
        <v>372</v>
      </c>
      <c r="F544" s="59" t="s">
        <v>1954</v>
      </c>
      <c r="G544" s="59">
        <v>1261</v>
      </c>
      <c r="H544" s="65">
        <v>45933</v>
      </c>
      <c r="I544" s="65">
        <v>46022</v>
      </c>
      <c r="J544" s="65">
        <v>46022</v>
      </c>
      <c r="K544" s="57">
        <v>12000000</v>
      </c>
      <c r="L544" s="28"/>
      <c r="M544" s="57">
        <v>12000000</v>
      </c>
      <c r="N544" s="28"/>
      <c r="O544" s="28"/>
      <c r="P544" s="28"/>
    </row>
    <row r="545" spans="1:16" ht="67.5" customHeight="1">
      <c r="A545" s="59" t="s">
        <v>1955</v>
      </c>
      <c r="B545" s="59" t="s">
        <v>1894</v>
      </c>
      <c r="C545" s="59" t="s">
        <v>272</v>
      </c>
      <c r="D545" s="60">
        <v>66873713</v>
      </c>
      <c r="E545" s="59" t="s">
        <v>1562</v>
      </c>
      <c r="F545" s="59" t="s">
        <v>1956</v>
      </c>
      <c r="G545" s="59">
        <v>1262</v>
      </c>
      <c r="H545" s="65">
        <v>45933</v>
      </c>
      <c r="I545" s="65">
        <v>46022</v>
      </c>
      <c r="J545" s="65">
        <v>46022</v>
      </c>
      <c r="K545" s="57">
        <v>7467600</v>
      </c>
      <c r="L545" s="28"/>
      <c r="M545" s="57">
        <v>7467600</v>
      </c>
      <c r="N545" s="28"/>
      <c r="O545" s="28"/>
      <c r="P545" s="28"/>
    </row>
    <row r="546" spans="1:16" ht="67.5" customHeight="1">
      <c r="A546" s="59" t="s">
        <v>1957</v>
      </c>
      <c r="B546" s="59" t="s">
        <v>1894</v>
      </c>
      <c r="C546" s="59" t="s">
        <v>304</v>
      </c>
      <c r="D546" s="60">
        <v>66872632</v>
      </c>
      <c r="E546" s="59" t="s">
        <v>1562</v>
      </c>
      <c r="F546" s="59" t="s">
        <v>1958</v>
      </c>
      <c r="G546" s="59">
        <v>1263</v>
      </c>
      <c r="H546" s="65">
        <v>45933</v>
      </c>
      <c r="I546" s="65">
        <v>46022</v>
      </c>
      <c r="J546" s="65">
        <v>46022</v>
      </c>
      <c r="K546" s="57">
        <v>7467600</v>
      </c>
      <c r="L546" s="28"/>
      <c r="M546" s="57">
        <v>7467600</v>
      </c>
      <c r="N546" s="28"/>
      <c r="O546" s="28"/>
      <c r="P546" s="28"/>
    </row>
    <row r="547" spans="1:16" ht="67.5" customHeight="1">
      <c r="A547" s="59" t="s">
        <v>1959</v>
      </c>
      <c r="B547" s="59" t="s">
        <v>280</v>
      </c>
      <c r="C547" s="59" t="s">
        <v>281</v>
      </c>
      <c r="D547" s="60">
        <v>1116264608</v>
      </c>
      <c r="E547" s="59" t="s">
        <v>1534</v>
      </c>
      <c r="F547" s="59" t="s">
        <v>1960</v>
      </c>
      <c r="G547" s="59">
        <v>1264</v>
      </c>
      <c r="H547" s="65">
        <v>45933</v>
      </c>
      <c r="I547" s="65">
        <v>46022</v>
      </c>
      <c r="J547" s="65">
        <v>46022</v>
      </c>
      <c r="K547" s="57">
        <v>11760000</v>
      </c>
      <c r="L547" s="28"/>
      <c r="M547" s="57">
        <v>11760000</v>
      </c>
      <c r="N547" s="28"/>
      <c r="O547" s="28"/>
      <c r="P547" s="28"/>
    </row>
    <row r="548" spans="1:16" ht="67.5" customHeight="1">
      <c r="A548" s="59" t="s">
        <v>1961</v>
      </c>
      <c r="B548" s="59" t="s">
        <v>1962</v>
      </c>
      <c r="C548" s="59" t="s">
        <v>215</v>
      </c>
      <c r="D548" s="60">
        <v>16549566</v>
      </c>
      <c r="E548" s="59" t="s">
        <v>1534</v>
      </c>
      <c r="F548" s="59" t="s">
        <v>1963</v>
      </c>
      <c r="G548" s="59">
        <v>1265</v>
      </c>
      <c r="H548" s="65">
        <v>45933</v>
      </c>
      <c r="I548" s="65">
        <v>46022</v>
      </c>
      <c r="J548" s="65">
        <v>46022</v>
      </c>
      <c r="K548" s="57">
        <v>8458200</v>
      </c>
      <c r="L548" s="28"/>
      <c r="M548" s="57">
        <v>8458200</v>
      </c>
      <c r="N548" s="28"/>
      <c r="O548" s="28"/>
      <c r="P548" s="28"/>
    </row>
    <row r="549" spans="1:16" ht="67.5" customHeight="1">
      <c r="A549" s="59" t="s">
        <v>1964</v>
      </c>
      <c r="B549" s="59" t="s">
        <v>1965</v>
      </c>
      <c r="C549" s="59" t="s">
        <v>727</v>
      </c>
      <c r="D549" s="60">
        <v>1007820945</v>
      </c>
      <c r="E549" s="59" t="s">
        <v>353</v>
      </c>
      <c r="F549" s="59" t="s">
        <v>1966</v>
      </c>
      <c r="G549" s="59">
        <v>1266</v>
      </c>
      <c r="H549" s="65">
        <v>45933</v>
      </c>
      <c r="I549" s="65">
        <v>46022</v>
      </c>
      <c r="J549" s="65">
        <v>46022</v>
      </c>
      <c r="K549" s="57">
        <v>12324273</v>
      </c>
      <c r="L549" s="28"/>
      <c r="M549" s="57">
        <v>12324273</v>
      </c>
      <c r="N549" s="28"/>
      <c r="O549" s="28"/>
      <c r="P549" s="28"/>
    </row>
    <row r="550" spans="1:16" ht="67.5" customHeight="1">
      <c r="A550" s="59" t="s">
        <v>1967</v>
      </c>
      <c r="B550" s="59" t="s">
        <v>1968</v>
      </c>
      <c r="C550" s="59" t="s">
        <v>6</v>
      </c>
      <c r="D550" s="60">
        <v>16548768</v>
      </c>
      <c r="E550" s="59" t="s">
        <v>361</v>
      </c>
      <c r="F550" s="59" t="s">
        <v>1969</v>
      </c>
      <c r="G550" s="59">
        <v>1267</v>
      </c>
      <c r="H550" s="65">
        <v>45933</v>
      </c>
      <c r="I550" s="65">
        <v>46022</v>
      </c>
      <c r="J550" s="65">
        <v>46022</v>
      </c>
      <c r="K550" s="57">
        <v>6000000</v>
      </c>
      <c r="L550" s="28"/>
      <c r="M550" s="57">
        <v>6000000</v>
      </c>
      <c r="N550" s="28"/>
      <c r="O550" s="28"/>
      <c r="P550" s="28"/>
    </row>
    <row r="551" spans="1:16" ht="67.5" customHeight="1">
      <c r="A551" s="59" t="s">
        <v>1970</v>
      </c>
      <c r="B551" s="59" t="s">
        <v>1971</v>
      </c>
      <c r="C551" s="59" t="s">
        <v>1972</v>
      </c>
      <c r="D551" s="60">
        <v>29159778</v>
      </c>
      <c r="E551" s="20" t="s">
        <v>353</v>
      </c>
      <c r="F551" s="59" t="s">
        <v>1973</v>
      </c>
      <c r="G551" s="59">
        <v>1268</v>
      </c>
      <c r="H551" s="65">
        <v>45933</v>
      </c>
      <c r="I551" s="65">
        <v>46022</v>
      </c>
      <c r="J551" s="65">
        <v>46022</v>
      </c>
      <c r="K551" s="57">
        <v>9000000</v>
      </c>
      <c r="L551" s="28"/>
      <c r="M551" s="57">
        <v>9000000</v>
      </c>
      <c r="N551" s="28"/>
      <c r="O551" s="28"/>
      <c r="P551" s="28"/>
    </row>
    <row r="552" spans="1:16" ht="67.5" customHeight="1">
      <c r="A552" s="59" t="s">
        <v>1974</v>
      </c>
      <c r="B552" s="59" t="s">
        <v>1971</v>
      </c>
      <c r="C552" s="59" t="s">
        <v>754</v>
      </c>
      <c r="D552" s="60">
        <v>1007502344</v>
      </c>
      <c r="E552" s="20" t="s">
        <v>353</v>
      </c>
      <c r="F552" s="59" t="s">
        <v>1975</v>
      </c>
      <c r="G552" s="59">
        <v>1269</v>
      </c>
      <c r="H552" s="65">
        <v>45933</v>
      </c>
      <c r="I552" s="65">
        <v>46022</v>
      </c>
      <c r="J552" s="65">
        <v>46022</v>
      </c>
      <c r="K552" s="57">
        <v>9000000</v>
      </c>
      <c r="L552" s="28"/>
      <c r="M552" s="57">
        <v>9000000</v>
      </c>
      <c r="N552" s="28"/>
      <c r="O552" s="28"/>
      <c r="P552" s="28"/>
    </row>
    <row r="553" spans="1:16" ht="67.5" customHeight="1">
      <c r="A553" s="59" t="s">
        <v>1976</v>
      </c>
      <c r="B553" s="59" t="s">
        <v>1977</v>
      </c>
      <c r="C553" s="59" t="s">
        <v>207</v>
      </c>
      <c r="D553" s="60">
        <v>1113786194</v>
      </c>
      <c r="E553" s="20" t="s">
        <v>353</v>
      </c>
      <c r="F553" s="59" t="s">
        <v>1978</v>
      </c>
      <c r="G553" s="59">
        <v>1270</v>
      </c>
      <c r="H553" s="65">
        <v>45933</v>
      </c>
      <c r="I553" s="65">
        <v>46022</v>
      </c>
      <c r="J553" s="65">
        <v>46022</v>
      </c>
      <c r="K553" s="57">
        <v>18000000</v>
      </c>
      <c r="L553" s="28"/>
      <c r="M553" s="57">
        <v>18000000</v>
      </c>
      <c r="N553" s="28"/>
      <c r="O553" s="28"/>
      <c r="P553" s="28"/>
    </row>
    <row r="554" spans="1:16" ht="67.5" customHeight="1">
      <c r="A554" s="59" t="s">
        <v>1979</v>
      </c>
      <c r="B554" s="59" t="s">
        <v>1971</v>
      </c>
      <c r="C554" s="59" t="s">
        <v>1980</v>
      </c>
      <c r="D554" s="60">
        <v>1113788385</v>
      </c>
      <c r="E554" s="20" t="s">
        <v>353</v>
      </c>
      <c r="F554" s="59" t="s">
        <v>1981</v>
      </c>
      <c r="G554" s="59">
        <v>1271</v>
      </c>
      <c r="H554" s="65">
        <v>45933</v>
      </c>
      <c r="I554" s="65">
        <v>46022</v>
      </c>
      <c r="J554" s="65">
        <v>46022</v>
      </c>
      <c r="K554" s="57">
        <v>9000000</v>
      </c>
      <c r="L554" s="28"/>
      <c r="M554" s="57">
        <v>9000000</v>
      </c>
      <c r="N554" s="28"/>
      <c r="O554" s="28"/>
      <c r="P554" s="28"/>
    </row>
    <row r="555" spans="1:16" ht="67.5" customHeight="1">
      <c r="A555" s="59" t="s">
        <v>1982</v>
      </c>
      <c r="B555" s="59" t="s">
        <v>1971</v>
      </c>
      <c r="C555" s="59" t="s">
        <v>23</v>
      </c>
      <c r="D555" s="60">
        <v>1116441229</v>
      </c>
      <c r="E555" s="20" t="s">
        <v>353</v>
      </c>
      <c r="F555" s="59" t="s">
        <v>1983</v>
      </c>
      <c r="G555" s="59">
        <v>1272</v>
      </c>
      <c r="H555" s="65">
        <v>45933</v>
      </c>
      <c r="I555" s="65">
        <v>46022</v>
      </c>
      <c r="J555" s="65">
        <v>46022</v>
      </c>
      <c r="K555" s="57">
        <v>9000000</v>
      </c>
      <c r="L555" s="28"/>
      <c r="M555" s="57">
        <v>9000000</v>
      </c>
      <c r="N555" s="28"/>
      <c r="O555" s="28"/>
      <c r="P555" s="28"/>
    </row>
    <row r="556" spans="1:16" ht="67.5" customHeight="1">
      <c r="A556" s="59" t="s">
        <v>1984</v>
      </c>
      <c r="B556" s="59" t="s">
        <v>1971</v>
      </c>
      <c r="C556" s="59" t="s">
        <v>21</v>
      </c>
      <c r="D556" s="60">
        <v>1112624336</v>
      </c>
      <c r="E556" s="20" t="s">
        <v>353</v>
      </c>
      <c r="F556" s="59" t="s">
        <v>1985</v>
      </c>
      <c r="G556" s="59">
        <v>1273</v>
      </c>
      <c r="H556" s="65">
        <v>45933</v>
      </c>
      <c r="I556" s="65">
        <v>46022</v>
      </c>
      <c r="J556" s="65">
        <v>46022</v>
      </c>
      <c r="K556" s="57">
        <v>9000000</v>
      </c>
      <c r="L556" s="28"/>
      <c r="M556" s="57">
        <v>9000000</v>
      </c>
      <c r="N556" s="28"/>
      <c r="O556" s="28"/>
      <c r="P556" s="28"/>
    </row>
    <row r="557" spans="1:16" ht="67.5" customHeight="1">
      <c r="A557" s="59" t="s">
        <v>1986</v>
      </c>
      <c r="B557" s="59" t="s">
        <v>1971</v>
      </c>
      <c r="C557" s="59" t="s">
        <v>15</v>
      </c>
      <c r="D557" s="60">
        <v>29775079</v>
      </c>
      <c r="E557" s="20" t="s">
        <v>353</v>
      </c>
      <c r="F557" s="59" t="s">
        <v>1987</v>
      </c>
      <c r="G557" s="59">
        <v>1274</v>
      </c>
      <c r="H557" s="65">
        <v>45933</v>
      </c>
      <c r="I557" s="65">
        <v>46022</v>
      </c>
      <c r="J557" s="65">
        <v>46022</v>
      </c>
      <c r="K557" s="57">
        <v>9000000</v>
      </c>
      <c r="L557" s="28"/>
      <c r="M557" s="57">
        <v>9000000</v>
      </c>
      <c r="N557" s="28"/>
      <c r="O557" s="28"/>
      <c r="P557" s="28"/>
    </row>
    <row r="558" spans="1:16" ht="67.5" customHeight="1">
      <c r="A558" s="59" t="s">
        <v>1988</v>
      </c>
      <c r="B558" s="59" t="s">
        <v>1971</v>
      </c>
      <c r="C558" s="59" t="s">
        <v>1201</v>
      </c>
      <c r="D558" s="60">
        <v>5180493</v>
      </c>
      <c r="E558" s="20" t="s">
        <v>353</v>
      </c>
      <c r="F558" s="59" t="s">
        <v>1989</v>
      </c>
      <c r="G558" s="59">
        <v>1275</v>
      </c>
      <c r="H558" s="65">
        <v>45933</v>
      </c>
      <c r="I558" s="65">
        <v>46022</v>
      </c>
      <c r="J558" s="65">
        <v>46022</v>
      </c>
      <c r="K558" s="57">
        <v>9000000</v>
      </c>
      <c r="L558" s="28"/>
      <c r="M558" s="57">
        <v>9000000</v>
      </c>
      <c r="N558" s="28"/>
      <c r="O558" s="28"/>
      <c r="P558" s="28"/>
    </row>
    <row r="559" spans="1:16" ht="67.5" customHeight="1">
      <c r="A559" s="59" t="s">
        <v>1990</v>
      </c>
      <c r="B559" s="59" t="s">
        <v>1971</v>
      </c>
      <c r="C559" s="59" t="s">
        <v>1362</v>
      </c>
      <c r="D559" s="60">
        <v>66871597</v>
      </c>
      <c r="E559" s="20" t="s">
        <v>353</v>
      </c>
      <c r="F559" s="59" t="s">
        <v>1991</v>
      </c>
      <c r="G559" s="59">
        <v>1276</v>
      </c>
      <c r="H559" s="65">
        <v>45933</v>
      </c>
      <c r="I559" s="65">
        <v>46022</v>
      </c>
      <c r="J559" s="65">
        <v>46022</v>
      </c>
      <c r="K559" s="57">
        <v>9000000</v>
      </c>
      <c r="L559" s="28"/>
      <c r="M559" s="57">
        <v>9000000</v>
      </c>
      <c r="N559" s="28"/>
      <c r="O559" s="28"/>
      <c r="P559" s="28"/>
    </row>
    <row r="560" spans="1:16" ht="67.5" customHeight="1">
      <c r="A560" s="59" t="s">
        <v>1992</v>
      </c>
      <c r="B560" s="59" t="s">
        <v>1977</v>
      </c>
      <c r="C560" s="59" t="s">
        <v>426</v>
      </c>
      <c r="D560" s="60">
        <v>1113787849</v>
      </c>
      <c r="E560" s="20" t="s">
        <v>353</v>
      </c>
      <c r="F560" s="59" t="s">
        <v>1993</v>
      </c>
      <c r="G560" s="59">
        <v>1277</v>
      </c>
      <c r="H560" s="65">
        <v>45933</v>
      </c>
      <c r="I560" s="65">
        <v>46022</v>
      </c>
      <c r="J560" s="65">
        <v>46022</v>
      </c>
      <c r="K560" s="57">
        <v>18000000</v>
      </c>
      <c r="L560" s="28"/>
      <c r="M560" s="57">
        <v>18000000</v>
      </c>
      <c r="N560" s="28"/>
      <c r="O560" s="28"/>
      <c r="P560" s="28"/>
    </row>
    <row r="561" spans="1:16" ht="67.5" customHeight="1">
      <c r="A561" s="59" t="s">
        <v>1994</v>
      </c>
      <c r="B561" s="59" t="s">
        <v>1971</v>
      </c>
      <c r="C561" s="59" t="s">
        <v>452</v>
      </c>
      <c r="D561" s="60">
        <v>1113785623</v>
      </c>
      <c r="E561" s="20" t="s">
        <v>353</v>
      </c>
      <c r="F561" s="59" t="s">
        <v>1995</v>
      </c>
      <c r="G561" s="59">
        <v>1278</v>
      </c>
      <c r="H561" s="65">
        <v>45933</v>
      </c>
      <c r="I561" s="65">
        <v>46022</v>
      </c>
      <c r="J561" s="65">
        <v>46022</v>
      </c>
      <c r="K561" s="57">
        <v>9000000</v>
      </c>
      <c r="L561" s="28"/>
      <c r="M561" s="57">
        <v>9000000</v>
      </c>
      <c r="N561" s="28"/>
      <c r="O561" s="28"/>
      <c r="P561" s="28"/>
    </row>
    <row r="562" spans="1:16" ht="67.5" customHeight="1">
      <c r="A562" s="59" t="s">
        <v>1996</v>
      </c>
      <c r="B562" s="59" t="s">
        <v>1971</v>
      </c>
      <c r="C562" s="59" t="s">
        <v>1997</v>
      </c>
      <c r="D562" s="60">
        <v>29775003</v>
      </c>
      <c r="E562" s="20" t="s">
        <v>353</v>
      </c>
      <c r="F562" s="59" t="s">
        <v>1998</v>
      </c>
      <c r="G562" s="59">
        <v>1279</v>
      </c>
      <c r="H562" s="65">
        <v>45933</v>
      </c>
      <c r="I562" s="65">
        <v>46022</v>
      </c>
      <c r="J562" s="65">
        <v>46022</v>
      </c>
      <c r="K562" s="57">
        <v>9000000</v>
      </c>
      <c r="L562" s="28"/>
      <c r="M562" s="57">
        <v>9000000</v>
      </c>
      <c r="N562" s="28"/>
      <c r="O562" s="28"/>
      <c r="P562" s="28"/>
    </row>
    <row r="563" spans="1:16" ht="67.5" customHeight="1">
      <c r="A563" s="59" t="s">
        <v>1999</v>
      </c>
      <c r="B563" s="59" t="s">
        <v>1971</v>
      </c>
      <c r="C563" s="72" t="s">
        <v>2266</v>
      </c>
      <c r="D563" s="60">
        <v>1113790088</v>
      </c>
      <c r="E563" s="20" t="s">
        <v>353</v>
      </c>
      <c r="F563" s="59" t="s">
        <v>2000</v>
      </c>
      <c r="G563" s="59">
        <v>1280</v>
      </c>
      <c r="H563" s="65">
        <v>45936</v>
      </c>
      <c r="I563" s="65">
        <v>46022</v>
      </c>
      <c r="J563" s="65">
        <v>46022</v>
      </c>
      <c r="K563" s="57">
        <v>9000000</v>
      </c>
      <c r="L563" s="28"/>
      <c r="M563" s="57">
        <v>9000000</v>
      </c>
      <c r="N563" s="28"/>
      <c r="O563" s="28"/>
      <c r="P563" s="28"/>
    </row>
    <row r="564" spans="1:16" ht="67.5" customHeight="1">
      <c r="A564" s="59" t="s">
        <v>2001</v>
      </c>
      <c r="B564" s="59" t="s">
        <v>2002</v>
      </c>
      <c r="C564" s="59" t="s">
        <v>2003</v>
      </c>
      <c r="D564" s="60">
        <v>1006289472</v>
      </c>
      <c r="E564" s="20" t="s">
        <v>353</v>
      </c>
      <c r="F564" s="59" t="s">
        <v>2004</v>
      </c>
      <c r="G564" s="59">
        <v>1281</v>
      </c>
      <c r="H564" s="65">
        <v>45936</v>
      </c>
      <c r="I564" s="65">
        <v>46022</v>
      </c>
      <c r="J564" s="65">
        <v>46022</v>
      </c>
      <c r="K564" s="57">
        <v>24000000</v>
      </c>
      <c r="L564" s="28"/>
      <c r="M564" s="57">
        <v>24000000</v>
      </c>
      <c r="N564" s="28"/>
      <c r="O564" s="28"/>
      <c r="P564" s="28"/>
    </row>
    <row r="565" spans="1:16" ht="67.5" customHeight="1">
      <c r="A565" s="59" t="s">
        <v>2005</v>
      </c>
      <c r="B565" s="59" t="s">
        <v>1977</v>
      </c>
      <c r="C565" s="59" t="s">
        <v>393</v>
      </c>
      <c r="D565" s="60">
        <v>1113790651</v>
      </c>
      <c r="E565" s="20" t="s">
        <v>353</v>
      </c>
      <c r="F565" s="59" t="s">
        <v>2006</v>
      </c>
      <c r="G565" s="59">
        <v>1282</v>
      </c>
      <c r="H565" s="65">
        <v>45936</v>
      </c>
      <c r="I565" s="65">
        <v>46022</v>
      </c>
      <c r="J565" s="65">
        <v>46022</v>
      </c>
      <c r="K565" s="57">
        <v>18000000</v>
      </c>
      <c r="L565" s="28"/>
      <c r="M565" s="57">
        <v>18000000</v>
      </c>
      <c r="N565" s="28"/>
      <c r="O565" s="28"/>
      <c r="P565" s="28"/>
    </row>
    <row r="566" spans="1:16" ht="67.5" customHeight="1">
      <c r="A566" s="59" t="s">
        <v>2007</v>
      </c>
      <c r="B566" s="59" t="s">
        <v>2008</v>
      </c>
      <c r="C566" s="59" t="s">
        <v>12</v>
      </c>
      <c r="D566" s="60">
        <v>1113784541</v>
      </c>
      <c r="E566" s="20" t="s">
        <v>353</v>
      </c>
      <c r="F566" s="59" t="s">
        <v>1969</v>
      </c>
      <c r="G566" s="59">
        <v>1283</v>
      </c>
      <c r="H566" s="65">
        <v>45936</v>
      </c>
      <c r="I566" s="65">
        <v>46022</v>
      </c>
      <c r="J566" s="65">
        <v>46022</v>
      </c>
      <c r="K566" s="57">
        <v>9000000</v>
      </c>
      <c r="L566" s="28"/>
      <c r="M566" s="57">
        <v>9000000</v>
      </c>
      <c r="N566" s="28"/>
      <c r="O566" s="28"/>
      <c r="P566" s="28"/>
    </row>
    <row r="567" spans="1:16" ht="67.5" customHeight="1">
      <c r="A567" s="59" t="s">
        <v>2009</v>
      </c>
      <c r="B567" s="59" t="s">
        <v>1977</v>
      </c>
      <c r="C567" s="59" t="s">
        <v>2010</v>
      </c>
      <c r="D567" s="60">
        <v>16364309</v>
      </c>
      <c r="E567" s="20" t="s">
        <v>353</v>
      </c>
      <c r="F567" s="59" t="s">
        <v>2011</v>
      </c>
      <c r="G567" s="59">
        <v>1284</v>
      </c>
      <c r="H567" s="65">
        <v>45936</v>
      </c>
      <c r="I567" s="65">
        <v>46022</v>
      </c>
      <c r="J567" s="65">
        <v>46022</v>
      </c>
      <c r="K567" s="57">
        <v>18000000</v>
      </c>
      <c r="L567" s="28"/>
      <c r="M567" s="57">
        <v>18000000</v>
      </c>
      <c r="N567" s="28"/>
      <c r="O567" s="28"/>
      <c r="P567" s="28"/>
    </row>
    <row r="568" spans="1:16" ht="67.5" customHeight="1">
      <c r="A568" s="59" t="s">
        <v>2012</v>
      </c>
      <c r="B568" s="59" t="s">
        <v>2013</v>
      </c>
      <c r="C568" s="59" t="s">
        <v>2014</v>
      </c>
      <c r="D568" s="60">
        <v>1006238908</v>
      </c>
      <c r="E568" s="20" t="s">
        <v>353</v>
      </c>
      <c r="F568" s="59" t="s">
        <v>2015</v>
      </c>
      <c r="G568" s="59">
        <v>1285</v>
      </c>
      <c r="H568" s="65">
        <v>45936</v>
      </c>
      <c r="I568" s="65">
        <v>46022</v>
      </c>
      <c r="J568" s="65">
        <v>46022</v>
      </c>
      <c r="K568" s="57">
        <v>9000000</v>
      </c>
      <c r="L568" s="28"/>
      <c r="M568" s="57">
        <v>9000000</v>
      </c>
      <c r="N568" s="28"/>
      <c r="O568" s="28"/>
      <c r="P568" s="28"/>
    </row>
    <row r="569" spans="1:16" ht="67.5" customHeight="1">
      <c r="A569" s="59" t="s">
        <v>2016</v>
      </c>
      <c r="B569" s="59" t="s">
        <v>1971</v>
      </c>
      <c r="C569" s="59" t="s">
        <v>17</v>
      </c>
      <c r="D569" s="60">
        <v>29775139</v>
      </c>
      <c r="E569" s="20" t="s">
        <v>353</v>
      </c>
      <c r="F569" s="59" t="s">
        <v>2017</v>
      </c>
      <c r="G569" s="59">
        <v>1286</v>
      </c>
      <c r="H569" s="65">
        <v>45936</v>
      </c>
      <c r="I569" s="65">
        <v>46022</v>
      </c>
      <c r="J569" s="65">
        <v>46022</v>
      </c>
      <c r="K569" s="57">
        <v>9000000</v>
      </c>
      <c r="L569" s="28"/>
      <c r="M569" s="57">
        <v>9000000</v>
      </c>
      <c r="N569" s="28"/>
      <c r="O569" s="28"/>
      <c r="P569" s="28"/>
    </row>
    <row r="570" spans="1:16" ht="67.5" customHeight="1">
      <c r="A570" s="59" t="s">
        <v>2018</v>
      </c>
      <c r="B570" s="59" t="s">
        <v>2002</v>
      </c>
      <c r="C570" s="59" t="s">
        <v>368</v>
      </c>
      <c r="D570" s="60">
        <v>1115422544</v>
      </c>
      <c r="E570" s="20" t="s">
        <v>353</v>
      </c>
      <c r="F570" s="59" t="s">
        <v>2019</v>
      </c>
      <c r="G570" s="59">
        <v>1287</v>
      </c>
      <c r="H570" s="65">
        <v>45936</v>
      </c>
      <c r="I570" s="65">
        <v>46022</v>
      </c>
      <c r="J570" s="65">
        <v>46022</v>
      </c>
      <c r="K570" s="57">
        <v>24000000</v>
      </c>
      <c r="L570" s="28"/>
      <c r="M570" s="57">
        <v>24000000</v>
      </c>
      <c r="N570" s="28"/>
      <c r="O570" s="28"/>
      <c r="P570" s="28"/>
    </row>
    <row r="571" spans="1:16" ht="67.5" customHeight="1">
      <c r="A571" s="59" t="s">
        <v>2020</v>
      </c>
      <c r="B571" s="59" t="s">
        <v>2002</v>
      </c>
      <c r="C571" s="59" t="s">
        <v>417</v>
      </c>
      <c r="D571" s="60">
        <v>1113787109</v>
      </c>
      <c r="E571" s="20" t="s">
        <v>353</v>
      </c>
      <c r="F571" s="59" t="s">
        <v>2021</v>
      </c>
      <c r="G571" s="59">
        <v>1288</v>
      </c>
      <c r="H571" s="65">
        <v>45936</v>
      </c>
      <c r="I571" s="65">
        <v>46022</v>
      </c>
      <c r="J571" s="65">
        <v>46022</v>
      </c>
      <c r="K571" s="57">
        <v>24000000</v>
      </c>
      <c r="L571" s="28"/>
      <c r="M571" s="57">
        <v>24000000</v>
      </c>
      <c r="N571" s="28"/>
      <c r="O571" s="28"/>
      <c r="P571" s="28"/>
    </row>
    <row r="572" spans="1:16" ht="67.5" customHeight="1">
      <c r="A572" s="59" t="s">
        <v>2022</v>
      </c>
      <c r="B572" s="59" t="s">
        <v>1977</v>
      </c>
      <c r="C572" s="59" t="s">
        <v>480</v>
      </c>
      <c r="D572" s="60">
        <v>1006289951</v>
      </c>
      <c r="E572" s="20" t="s">
        <v>353</v>
      </c>
      <c r="F572" s="59" t="s">
        <v>2023</v>
      </c>
      <c r="G572" s="59">
        <v>1289</v>
      </c>
      <c r="H572" s="65">
        <v>45936</v>
      </c>
      <c r="I572" s="65">
        <v>46022</v>
      </c>
      <c r="J572" s="65">
        <v>46022</v>
      </c>
      <c r="K572" s="57">
        <v>18000000</v>
      </c>
      <c r="L572" s="28"/>
      <c r="M572" s="57">
        <v>18000000</v>
      </c>
      <c r="N572" s="28"/>
      <c r="O572" s="28"/>
      <c r="P572" s="28"/>
    </row>
    <row r="573" spans="1:16" ht="67.5" customHeight="1">
      <c r="A573" s="59" t="s">
        <v>2024</v>
      </c>
      <c r="B573" s="59" t="s">
        <v>2025</v>
      </c>
      <c r="C573" s="59" t="s">
        <v>2026</v>
      </c>
      <c r="D573" s="60">
        <v>1113782396</v>
      </c>
      <c r="E573" s="59" t="s">
        <v>361</v>
      </c>
      <c r="F573" s="59" t="s">
        <v>2027</v>
      </c>
      <c r="G573" s="59">
        <v>1290</v>
      </c>
      <c r="H573" s="65">
        <v>45936</v>
      </c>
      <c r="I573" s="65">
        <v>46022</v>
      </c>
      <c r="J573" s="65">
        <v>46022</v>
      </c>
      <c r="K573" s="57">
        <v>6000000</v>
      </c>
      <c r="L573" s="28"/>
      <c r="M573" s="57">
        <v>6000000</v>
      </c>
      <c r="N573" s="28"/>
      <c r="O573" s="28"/>
      <c r="P573" s="28"/>
    </row>
    <row r="574" spans="1:16" ht="67.5" customHeight="1">
      <c r="A574" s="59" t="s">
        <v>2028</v>
      </c>
      <c r="B574" s="59" t="s">
        <v>2029</v>
      </c>
      <c r="C574" s="59" t="s">
        <v>515</v>
      </c>
      <c r="D574" s="60">
        <v>1116433614</v>
      </c>
      <c r="E574" s="59" t="s">
        <v>353</v>
      </c>
      <c r="F574" s="59" t="s">
        <v>2030</v>
      </c>
      <c r="G574" s="59">
        <v>1291</v>
      </c>
      <c r="H574" s="65">
        <v>45936</v>
      </c>
      <c r="I574" s="65">
        <v>46022</v>
      </c>
      <c r="J574" s="65">
        <v>46022</v>
      </c>
      <c r="K574" s="57">
        <v>24000000</v>
      </c>
      <c r="L574" s="28"/>
      <c r="M574" s="57">
        <v>24000000</v>
      </c>
      <c r="N574" s="28"/>
      <c r="O574" s="28"/>
      <c r="P574" s="28"/>
    </row>
    <row r="575" spans="1:16" ht="67.5" customHeight="1">
      <c r="A575" s="59" t="s">
        <v>2031</v>
      </c>
      <c r="B575" s="59" t="s">
        <v>2025</v>
      </c>
      <c r="C575" s="59" t="s">
        <v>2032</v>
      </c>
      <c r="D575" s="60">
        <v>1113793500</v>
      </c>
      <c r="E575" s="59" t="s">
        <v>361</v>
      </c>
      <c r="F575" s="59" t="s">
        <v>2033</v>
      </c>
      <c r="G575" s="59">
        <v>1292</v>
      </c>
      <c r="H575" s="65">
        <v>45936</v>
      </c>
      <c r="I575" s="65">
        <v>46022</v>
      </c>
      <c r="J575" s="65">
        <v>46022</v>
      </c>
      <c r="K575" s="57">
        <v>6000000</v>
      </c>
      <c r="L575" s="28"/>
      <c r="M575" s="57">
        <v>6000000</v>
      </c>
      <c r="N575" s="28"/>
      <c r="O575" s="28"/>
      <c r="P575" s="28"/>
    </row>
    <row r="576" spans="1:16" ht="67.5" customHeight="1">
      <c r="A576" s="59" t="s">
        <v>2034</v>
      </c>
      <c r="B576" s="59" t="s">
        <v>2035</v>
      </c>
      <c r="C576" s="20" t="s">
        <v>1235</v>
      </c>
      <c r="D576" s="60">
        <v>1113779076</v>
      </c>
      <c r="E576" s="59" t="s">
        <v>353</v>
      </c>
      <c r="F576" s="59" t="s">
        <v>2036</v>
      </c>
      <c r="G576" s="59">
        <v>1293</v>
      </c>
      <c r="H576" s="65">
        <v>45936</v>
      </c>
      <c r="I576" s="65">
        <v>46022</v>
      </c>
      <c r="J576" s="65">
        <v>46022</v>
      </c>
      <c r="K576" s="57">
        <v>18000000</v>
      </c>
      <c r="L576" s="28"/>
      <c r="M576" s="57">
        <v>18000000</v>
      </c>
      <c r="N576" s="28"/>
      <c r="O576" s="28"/>
      <c r="P576" s="28"/>
    </row>
    <row r="577" spans="1:16" ht="67.5" customHeight="1">
      <c r="A577" s="59" t="s">
        <v>2037</v>
      </c>
      <c r="B577" s="59" t="s">
        <v>2038</v>
      </c>
      <c r="C577" s="59" t="s">
        <v>456</v>
      </c>
      <c r="D577" s="60">
        <v>1113779029</v>
      </c>
      <c r="E577" s="59" t="s">
        <v>353</v>
      </c>
      <c r="F577" s="59" t="s">
        <v>2039</v>
      </c>
      <c r="G577" s="59">
        <v>1294</v>
      </c>
      <c r="H577" s="65">
        <v>45936</v>
      </c>
      <c r="I577" s="65">
        <v>46022</v>
      </c>
      <c r="J577" s="65">
        <v>46022</v>
      </c>
      <c r="K577" s="57">
        <v>9000000</v>
      </c>
      <c r="L577" s="28"/>
      <c r="M577" s="57">
        <v>9000000</v>
      </c>
      <c r="N577" s="28"/>
      <c r="O577" s="28"/>
      <c r="P577" s="28"/>
    </row>
    <row r="578" spans="1:16" ht="67.5" customHeight="1">
      <c r="A578" s="59" t="s">
        <v>2040</v>
      </c>
      <c r="B578" s="59" t="s">
        <v>2002</v>
      </c>
      <c r="C578" s="59" t="s">
        <v>2041</v>
      </c>
      <c r="D578" s="60">
        <v>1116447295</v>
      </c>
      <c r="E578" s="59" t="s">
        <v>353</v>
      </c>
      <c r="F578" s="59" t="s">
        <v>2006</v>
      </c>
      <c r="G578" s="59">
        <v>1295</v>
      </c>
      <c r="H578" s="65">
        <v>45936</v>
      </c>
      <c r="I578" s="65">
        <v>46022</v>
      </c>
      <c r="J578" s="65">
        <v>46022</v>
      </c>
      <c r="K578" s="57">
        <v>24000000</v>
      </c>
      <c r="L578" s="28"/>
      <c r="M578" s="57">
        <v>24000000</v>
      </c>
      <c r="N578" s="28"/>
      <c r="O578" s="28"/>
      <c r="P578" s="28"/>
    </row>
    <row r="579" spans="1:16" ht="67.5" customHeight="1">
      <c r="A579" s="59" t="s">
        <v>2042</v>
      </c>
      <c r="B579" s="59" t="s">
        <v>2043</v>
      </c>
      <c r="C579" s="59" t="s">
        <v>1133</v>
      </c>
      <c r="D579" s="60">
        <v>66703194</v>
      </c>
      <c r="E579" s="59" t="s">
        <v>353</v>
      </c>
      <c r="F579" s="59" t="s">
        <v>2044</v>
      </c>
      <c r="G579" s="59">
        <v>1296</v>
      </c>
      <c r="H579" s="65">
        <v>45936</v>
      </c>
      <c r="I579" s="65">
        <v>46022</v>
      </c>
      <c r="J579" s="65">
        <v>46022</v>
      </c>
      <c r="K579" s="57">
        <v>9000000</v>
      </c>
      <c r="L579" s="28"/>
      <c r="M579" s="57">
        <v>9000000</v>
      </c>
      <c r="N579" s="28"/>
      <c r="O579" s="28"/>
      <c r="P579" s="28"/>
    </row>
    <row r="580" spans="1:16" ht="67.5" customHeight="1">
      <c r="A580" s="59" t="s">
        <v>2045</v>
      </c>
      <c r="B580" s="59" t="s">
        <v>2002</v>
      </c>
      <c r="C580" s="59" t="s">
        <v>2046</v>
      </c>
      <c r="D580" s="60">
        <v>1130632570</v>
      </c>
      <c r="E580" s="59" t="s">
        <v>353</v>
      </c>
      <c r="F580" s="59" t="s">
        <v>2047</v>
      </c>
      <c r="G580" s="59">
        <v>1297</v>
      </c>
      <c r="H580" s="65">
        <v>45936</v>
      </c>
      <c r="I580" s="65">
        <v>46022</v>
      </c>
      <c r="J580" s="65">
        <v>46022</v>
      </c>
      <c r="K580" s="57">
        <v>24000000</v>
      </c>
      <c r="L580" s="28"/>
      <c r="M580" s="57">
        <v>24000000</v>
      </c>
      <c r="N580" s="28"/>
      <c r="O580" s="28"/>
      <c r="P580" s="28"/>
    </row>
    <row r="581" spans="1:16" ht="67.5" customHeight="1">
      <c r="A581" s="59" t="s">
        <v>2048</v>
      </c>
      <c r="B581" s="59" t="s">
        <v>2043</v>
      </c>
      <c r="C581" s="59" t="s">
        <v>418</v>
      </c>
      <c r="D581" s="60">
        <v>1116445023</v>
      </c>
      <c r="E581" s="59" t="s">
        <v>353</v>
      </c>
      <c r="F581" s="59" t="s">
        <v>2049</v>
      </c>
      <c r="G581" s="59">
        <v>1298</v>
      </c>
      <c r="H581" s="65">
        <v>45936</v>
      </c>
      <c r="I581" s="65">
        <v>46022</v>
      </c>
      <c r="J581" s="65">
        <v>46022</v>
      </c>
      <c r="K581" s="57">
        <v>9000000</v>
      </c>
      <c r="L581" s="28"/>
      <c r="M581" s="57">
        <v>9000000</v>
      </c>
      <c r="N581" s="28"/>
      <c r="O581" s="28"/>
      <c r="P581" s="28"/>
    </row>
    <row r="582" spans="1:16" ht="67.5" customHeight="1">
      <c r="A582" s="59" t="s">
        <v>2050</v>
      </c>
      <c r="B582" s="59" t="s">
        <v>2035</v>
      </c>
      <c r="C582" s="59" t="s">
        <v>1280</v>
      </c>
      <c r="D582" s="60">
        <v>1113782095</v>
      </c>
      <c r="E582" s="59" t="s">
        <v>353</v>
      </c>
      <c r="F582" s="59" t="s">
        <v>2051</v>
      </c>
      <c r="G582" s="59">
        <v>1299</v>
      </c>
      <c r="H582" s="65">
        <v>45936</v>
      </c>
      <c r="I582" s="65">
        <v>46022</v>
      </c>
      <c r="J582" s="65">
        <v>46022</v>
      </c>
      <c r="K582" s="57">
        <v>18000000</v>
      </c>
      <c r="L582" s="28"/>
      <c r="M582" s="57">
        <v>18000000</v>
      </c>
      <c r="N582" s="28"/>
      <c r="O582" s="28"/>
      <c r="P582" s="28"/>
    </row>
    <row r="583" spans="1:16" ht="67.5" customHeight="1">
      <c r="A583" s="59" t="s">
        <v>2052</v>
      </c>
      <c r="B583" s="59" t="s">
        <v>2043</v>
      </c>
      <c r="C583" s="59" t="s">
        <v>1264</v>
      </c>
      <c r="D583" s="60">
        <v>1113778889</v>
      </c>
      <c r="E583" s="59" t="s">
        <v>353</v>
      </c>
      <c r="F583" s="59" t="s">
        <v>2053</v>
      </c>
      <c r="G583" s="59">
        <v>1300</v>
      </c>
      <c r="H583" s="65">
        <v>45936</v>
      </c>
      <c r="I583" s="65">
        <v>46022</v>
      </c>
      <c r="J583" s="65">
        <v>46022</v>
      </c>
      <c r="K583" s="57">
        <v>9000000</v>
      </c>
      <c r="L583" s="28"/>
      <c r="M583" s="57">
        <v>9000000</v>
      </c>
      <c r="N583" s="28"/>
      <c r="O583" s="28"/>
      <c r="P583" s="28"/>
    </row>
    <row r="584" spans="1:16" ht="67.5" customHeight="1">
      <c r="A584" s="59" t="s">
        <v>2054</v>
      </c>
      <c r="B584" s="59" t="s">
        <v>1968</v>
      </c>
      <c r="C584" s="59" t="s">
        <v>9</v>
      </c>
      <c r="D584" s="60">
        <v>1113779696</v>
      </c>
      <c r="E584" s="59" t="s">
        <v>361</v>
      </c>
      <c r="F584" s="59" t="s">
        <v>2055</v>
      </c>
      <c r="G584" s="59">
        <v>1301</v>
      </c>
      <c r="H584" s="65">
        <v>45936</v>
      </c>
      <c r="I584" s="65">
        <v>46022</v>
      </c>
      <c r="J584" s="65">
        <v>46022</v>
      </c>
      <c r="K584" s="57">
        <v>6000000</v>
      </c>
      <c r="L584" s="28"/>
      <c r="M584" s="57">
        <v>6000000</v>
      </c>
      <c r="N584" s="28"/>
      <c r="O584" s="28"/>
      <c r="P584" s="28"/>
    </row>
    <row r="585" spans="1:16" ht="67.5" customHeight="1">
      <c r="A585" s="59" t="s">
        <v>2056</v>
      </c>
      <c r="B585" s="59" t="s">
        <v>1968</v>
      </c>
      <c r="C585" s="33" t="s">
        <v>1358</v>
      </c>
      <c r="D585" s="60">
        <v>1126704547</v>
      </c>
      <c r="E585" s="59" t="s">
        <v>361</v>
      </c>
      <c r="F585" s="59" t="s">
        <v>2057</v>
      </c>
      <c r="G585" s="59">
        <v>1302</v>
      </c>
      <c r="H585" s="65">
        <v>45936</v>
      </c>
      <c r="I585" s="65">
        <v>46022</v>
      </c>
      <c r="J585" s="65">
        <v>46022</v>
      </c>
      <c r="K585" s="57">
        <v>6000000</v>
      </c>
      <c r="L585" s="28"/>
      <c r="M585" s="57">
        <v>6000000</v>
      </c>
      <c r="N585" s="28"/>
      <c r="O585" s="28"/>
      <c r="P585" s="28"/>
    </row>
    <row r="586" spans="1:16" ht="67.5" customHeight="1">
      <c r="A586" s="59" t="s">
        <v>2058</v>
      </c>
      <c r="B586" s="59" t="s">
        <v>1968</v>
      </c>
      <c r="C586" s="59" t="s">
        <v>19</v>
      </c>
      <c r="D586" s="60">
        <v>1113782759</v>
      </c>
      <c r="E586" s="59" t="s">
        <v>361</v>
      </c>
      <c r="F586" s="59" t="s">
        <v>2059</v>
      </c>
      <c r="G586" s="59">
        <v>1303</v>
      </c>
      <c r="H586" s="65">
        <v>45936</v>
      </c>
      <c r="I586" s="65">
        <v>46022</v>
      </c>
      <c r="J586" s="65">
        <v>46022</v>
      </c>
      <c r="K586" s="57">
        <v>6000000</v>
      </c>
      <c r="L586" s="28"/>
      <c r="M586" s="57">
        <v>6000000</v>
      </c>
      <c r="N586" s="28"/>
      <c r="O586" s="28"/>
      <c r="P586" s="28"/>
    </row>
    <row r="587" spans="1:16" ht="67.5" customHeight="1">
      <c r="A587" s="59" t="s">
        <v>2060</v>
      </c>
      <c r="B587" s="59" t="s">
        <v>1971</v>
      </c>
      <c r="C587" s="59" t="s">
        <v>1260</v>
      </c>
      <c r="D587" s="60">
        <v>1007630512</v>
      </c>
      <c r="E587" s="59" t="s">
        <v>2061</v>
      </c>
      <c r="F587" s="59" t="s">
        <v>2062</v>
      </c>
      <c r="G587" s="59">
        <v>1304</v>
      </c>
      <c r="H587" s="65">
        <v>45936</v>
      </c>
      <c r="I587" s="65">
        <v>46022</v>
      </c>
      <c r="J587" s="65">
        <v>46022</v>
      </c>
      <c r="K587" s="57">
        <v>9000000</v>
      </c>
      <c r="L587" s="28"/>
      <c r="M587" s="57">
        <v>9000000</v>
      </c>
      <c r="N587" s="28"/>
      <c r="O587" s="28"/>
      <c r="P587" s="28"/>
    </row>
    <row r="588" spans="1:16" ht="67.5" customHeight="1">
      <c r="A588" s="59" t="s">
        <v>2063</v>
      </c>
      <c r="B588" s="59" t="s">
        <v>1971</v>
      </c>
      <c r="C588" s="59" t="s">
        <v>431</v>
      </c>
      <c r="D588" s="60">
        <v>1113787145</v>
      </c>
      <c r="E588" s="59" t="s">
        <v>2061</v>
      </c>
      <c r="F588" s="59" t="s">
        <v>2064</v>
      </c>
      <c r="G588" s="59">
        <v>1305</v>
      </c>
      <c r="H588" s="65">
        <v>45936</v>
      </c>
      <c r="I588" s="65">
        <v>46022</v>
      </c>
      <c r="J588" s="65">
        <v>46022</v>
      </c>
      <c r="K588" s="57">
        <v>9000000</v>
      </c>
      <c r="L588" s="28"/>
      <c r="M588" s="57">
        <v>9000000</v>
      </c>
      <c r="N588" s="28"/>
      <c r="O588" s="28"/>
      <c r="P588" s="28"/>
    </row>
    <row r="589" spans="1:16" ht="67.5" customHeight="1">
      <c r="A589" s="59" t="s">
        <v>2065</v>
      </c>
      <c r="B589" s="59" t="s">
        <v>2035</v>
      </c>
      <c r="C589" s="59" t="s">
        <v>2066</v>
      </c>
      <c r="D589" s="60">
        <v>1007502095</v>
      </c>
      <c r="E589" s="59" t="s">
        <v>353</v>
      </c>
      <c r="F589" s="59" t="s">
        <v>2067</v>
      </c>
      <c r="G589" s="59">
        <v>1306</v>
      </c>
      <c r="H589" s="65">
        <v>45936</v>
      </c>
      <c r="I589" s="65">
        <v>46022</v>
      </c>
      <c r="J589" s="65">
        <v>46022</v>
      </c>
      <c r="K589" s="57">
        <v>18000000</v>
      </c>
      <c r="L589" s="28"/>
      <c r="M589" s="57">
        <v>18000000</v>
      </c>
      <c r="N589" s="28"/>
      <c r="O589" s="28"/>
      <c r="P589" s="28"/>
    </row>
    <row r="590" spans="1:16" ht="67.5" customHeight="1">
      <c r="A590" s="59" t="s">
        <v>2068</v>
      </c>
      <c r="B590" s="59" t="s">
        <v>2025</v>
      </c>
      <c r="C590" s="59" t="s">
        <v>2069</v>
      </c>
      <c r="D590" s="60">
        <v>66873475</v>
      </c>
      <c r="E590" s="59" t="s">
        <v>361</v>
      </c>
      <c r="F590" s="59" t="s">
        <v>2067</v>
      </c>
      <c r="G590" s="59">
        <v>1307</v>
      </c>
      <c r="H590" s="65">
        <v>45936</v>
      </c>
      <c r="I590" s="65">
        <v>46022</v>
      </c>
      <c r="J590" s="65">
        <v>46022</v>
      </c>
      <c r="K590" s="57">
        <v>6000000</v>
      </c>
      <c r="L590" s="28"/>
      <c r="M590" s="57">
        <v>6000000</v>
      </c>
      <c r="N590" s="28"/>
      <c r="O590" s="28"/>
      <c r="P590" s="28"/>
    </row>
    <row r="591" spans="1:16" ht="67.5" customHeight="1">
      <c r="A591" s="59" t="s">
        <v>2070</v>
      </c>
      <c r="B591" s="59" t="s">
        <v>2025</v>
      </c>
      <c r="C591" s="59" t="s">
        <v>2071</v>
      </c>
      <c r="D591" s="60">
        <v>1113780908</v>
      </c>
      <c r="E591" s="59" t="s">
        <v>361</v>
      </c>
      <c r="F591" s="59" t="s">
        <v>2072</v>
      </c>
      <c r="G591" s="59">
        <v>1308</v>
      </c>
      <c r="H591" s="65">
        <v>45936</v>
      </c>
      <c r="I591" s="65">
        <v>46022</v>
      </c>
      <c r="J591" s="65">
        <v>46022</v>
      </c>
      <c r="K591" s="57">
        <v>6000000</v>
      </c>
      <c r="L591" s="28"/>
      <c r="M591" s="57">
        <v>6000000</v>
      </c>
      <c r="N591" s="28"/>
      <c r="O591" s="28"/>
      <c r="P591" s="28"/>
    </row>
    <row r="592" spans="1:16" ht="67.5" customHeight="1">
      <c r="A592" s="59" t="s">
        <v>2073</v>
      </c>
      <c r="B592" s="59" t="s">
        <v>2002</v>
      </c>
      <c r="C592" s="59" t="s">
        <v>2074</v>
      </c>
      <c r="D592" s="60">
        <v>1006432964</v>
      </c>
      <c r="E592" s="59" t="s">
        <v>353</v>
      </c>
      <c r="F592" s="59" t="s">
        <v>2075</v>
      </c>
      <c r="G592" s="59">
        <v>1309</v>
      </c>
      <c r="H592" s="65">
        <v>45936</v>
      </c>
      <c r="I592" s="65">
        <v>46022</v>
      </c>
      <c r="J592" s="65">
        <v>46022</v>
      </c>
      <c r="K592" s="57">
        <v>24000000</v>
      </c>
      <c r="L592" s="28"/>
      <c r="M592" s="57">
        <v>24000000</v>
      </c>
      <c r="N592" s="28"/>
      <c r="O592" s="28"/>
      <c r="P592" s="28"/>
    </row>
    <row r="593" spans="1:16" ht="67.5" customHeight="1">
      <c r="A593" s="59" t="s">
        <v>2076</v>
      </c>
      <c r="B593" s="59" t="s">
        <v>2002</v>
      </c>
      <c r="C593" s="59" t="s">
        <v>2077</v>
      </c>
      <c r="D593" s="60">
        <v>1006238956</v>
      </c>
      <c r="E593" s="59" t="s">
        <v>353</v>
      </c>
      <c r="F593" s="59" t="s">
        <v>2078</v>
      </c>
      <c r="G593" s="59">
        <v>1310</v>
      </c>
      <c r="H593" s="65">
        <v>45936</v>
      </c>
      <c r="I593" s="65">
        <v>46022</v>
      </c>
      <c r="J593" s="65">
        <v>46022</v>
      </c>
      <c r="K593" s="57">
        <v>24000000</v>
      </c>
      <c r="L593" s="28"/>
      <c r="M593" s="57">
        <v>24000000</v>
      </c>
      <c r="N593" s="28"/>
      <c r="O593" s="28"/>
      <c r="P593" s="28"/>
    </row>
    <row r="594" spans="1:16" ht="67.5" customHeight="1">
      <c r="A594" s="59" t="s">
        <v>2079</v>
      </c>
      <c r="B594" s="59" t="s">
        <v>2002</v>
      </c>
      <c r="C594" s="59" t="s">
        <v>2080</v>
      </c>
      <c r="D594" s="60">
        <v>1116281481</v>
      </c>
      <c r="E594" s="59" t="s">
        <v>353</v>
      </c>
      <c r="F594" s="59" t="s">
        <v>2081</v>
      </c>
      <c r="G594" s="59">
        <v>1311</v>
      </c>
      <c r="H594" s="65">
        <v>45936</v>
      </c>
      <c r="I594" s="65">
        <v>46022</v>
      </c>
      <c r="J594" s="65">
        <v>46022</v>
      </c>
      <c r="K594" s="57">
        <v>24000000</v>
      </c>
      <c r="L594" s="28"/>
      <c r="M594" s="57">
        <v>24000000</v>
      </c>
      <c r="N594" s="28"/>
      <c r="O594" s="28"/>
      <c r="P594" s="28"/>
    </row>
    <row r="595" spans="1:16" ht="67.5" customHeight="1">
      <c r="A595" s="59" t="s">
        <v>2082</v>
      </c>
      <c r="B595" s="59" t="s">
        <v>2043</v>
      </c>
      <c r="C595" s="59" t="s">
        <v>2083</v>
      </c>
      <c r="D595" s="60">
        <v>1088274995</v>
      </c>
      <c r="E595" s="59" t="s">
        <v>353</v>
      </c>
      <c r="F595" s="59" t="s">
        <v>2084</v>
      </c>
      <c r="G595" s="59">
        <v>1312</v>
      </c>
      <c r="H595" s="65">
        <v>45936</v>
      </c>
      <c r="I595" s="65">
        <v>46022</v>
      </c>
      <c r="J595" s="65">
        <v>46022</v>
      </c>
      <c r="K595" s="57">
        <v>9000000</v>
      </c>
      <c r="L595" s="28"/>
      <c r="M595" s="57">
        <v>9000000</v>
      </c>
      <c r="N595" s="28"/>
      <c r="O595" s="28"/>
      <c r="P595" s="28"/>
    </row>
    <row r="596" spans="1:16" ht="67.5" customHeight="1">
      <c r="A596" s="59" t="s">
        <v>2085</v>
      </c>
      <c r="B596" s="59" t="s">
        <v>2025</v>
      </c>
      <c r="C596" s="59" t="s">
        <v>25</v>
      </c>
      <c r="D596" s="60">
        <v>66871195</v>
      </c>
      <c r="E596" s="59" t="s">
        <v>361</v>
      </c>
      <c r="F596" s="59" t="s">
        <v>2086</v>
      </c>
      <c r="G596" s="59">
        <v>1313</v>
      </c>
      <c r="H596" s="65">
        <v>45936</v>
      </c>
      <c r="I596" s="65">
        <v>46022</v>
      </c>
      <c r="J596" s="65">
        <v>46022</v>
      </c>
      <c r="K596" s="57">
        <v>6000000</v>
      </c>
      <c r="L596" s="28"/>
      <c r="M596" s="57">
        <v>6000000</v>
      </c>
      <c r="N596" s="28"/>
      <c r="O596" s="28"/>
      <c r="P596" s="28"/>
    </row>
    <row r="597" spans="1:16" ht="67.5" customHeight="1">
      <c r="A597" s="59" t="s">
        <v>2087</v>
      </c>
      <c r="B597" s="59" t="s">
        <v>2043</v>
      </c>
      <c r="C597" s="59" t="s">
        <v>2088</v>
      </c>
      <c r="D597" s="60">
        <v>1113781795</v>
      </c>
      <c r="E597" s="59" t="s">
        <v>353</v>
      </c>
      <c r="F597" s="59" t="s">
        <v>2089</v>
      </c>
      <c r="G597" s="59">
        <v>1314</v>
      </c>
      <c r="H597" s="65">
        <v>45940</v>
      </c>
      <c r="I597" s="65">
        <v>46022</v>
      </c>
      <c r="J597" s="65">
        <v>46022</v>
      </c>
      <c r="K597" s="57">
        <v>9000000</v>
      </c>
      <c r="L597" s="28"/>
      <c r="M597" s="57">
        <v>9000000</v>
      </c>
      <c r="N597" s="28"/>
      <c r="O597" s="28"/>
      <c r="P597" s="28"/>
    </row>
    <row r="598" spans="1:16" ht="67.5" customHeight="1">
      <c r="A598" s="59" t="s">
        <v>2090</v>
      </c>
      <c r="B598" s="59" t="s">
        <v>2025</v>
      </c>
      <c r="C598" s="59" t="s">
        <v>2091</v>
      </c>
      <c r="D598" s="60">
        <v>1115083517</v>
      </c>
      <c r="E598" s="59" t="s">
        <v>361</v>
      </c>
      <c r="F598" s="59" t="s">
        <v>2092</v>
      </c>
      <c r="G598" s="59">
        <v>1315</v>
      </c>
      <c r="H598" s="65">
        <v>45940</v>
      </c>
      <c r="I598" s="65">
        <v>46022</v>
      </c>
      <c r="J598" s="65">
        <v>46022</v>
      </c>
      <c r="K598" s="57">
        <v>6000000</v>
      </c>
      <c r="L598" s="28"/>
      <c r="M598" s="57">
        <v>6000000</v>
      </c>
      <c r="N598" s="28"/>
      <c r="O598" s="28"/>
      <c r="P598" s="28"/>
    </row>
    <row r="599" spans="1:16" ht="67.5" customHeight="1">
      <c r="A599" s="59" t="s">
        <v>2093</v>
      </c>
      <c r="B599" s="59" t="s">
        <v>2094</v>
      </c>
      <c r="C599" s="59" t="s">
        <v>2095</v>
      </c>
      <c r="D599" s="60">
        <v>1116282426</v>
      </c>
      <c r="E599" s="59" t="s">
        <v>353</v>
      </c>
      <c r="F599" s="59" t="s">
        <v>2096</v>
      </c>
      <c r="G599" s="59">
        <v>1316</v>
      </c>
      <c r="H599" s="65">
        <v>45940</v>
      </c>
      <c r="I599" s="65">
        <v>46022</v>
      </c>
      <c r="J599" s="65">
        <v>46022</v>
      </c>
      <c r="K599" s="57">
        <v>22500000</v>
      </c>
      <c r="L599" s="28"/>
      <c r="M599" s="57">
        <v>22500000</v>
      </c>
      <c r="N599" s="28"/>
      <c r="O599" s="28"/>
      <c r="P599" s="28"/>
    </row>
    <row r="600" spans="1:16" ht="67.5" customHeight="1">
      <c r="A600" s="59" t="s">
        <v>2097</v>
      </c>
      <c r="B600" s="59" t="s">
        <v>2098</v>
      </c>
      <c r="C600" s="20" t="s">
        <v>380</v>
      </c>
      <c r="D600" s="60" t="s">
        <v>381</v>
      </c>
      <c r="E600" s="20" t="s">
        <v>353</v>
      </c>
      <c r="F600" s="59" t="s">
        <v>2099</v>
      </c>
      <c r="G600" s="59">
        <v>1317</v>
      </c>
      <c r="H600" s="65">
        <v>45940</v>
      </c>
      <c r="I600" s="65">
        <v>46022</v>
      </c>
      <c r="J600" s="65">
        <v>46022</v>
      </c>
      <c r="K600" s="57">
        <v>130000000</v>
      </c>
      <c r="L600" s="28"/>
      <c r="M600" s="57">
        <v>130000000</v>
      </c>
      <c r="N600" s="28"/>
      <c r="O600" s="28"/>
      <c r="P600" s="28"/>
    </row>
    <row r="601" spans="1:16" ht="67.5" customHeight="1">
      <c r="A601" s="59" t="s">
        <v>2100</v>
      </c>
      <c r="B601" s="59" t="s">
        <v>1971</v>
      </c>
      <c r="C601" s="59" t="s">
        <v>1313</v>
      </c>
      <c r="D601" s="60">
        <v>1118257276</v>
      </c>
      <c r="E601" s="20" t="s">
        <v>353</v>
      </c>
      <c r="F601" s="59" t="s">
        <v>2101</v>
      </c>
      <c r="G601" s="59">
        <v>1318</v>
      </c>
      <c r="H601" s="65">
        <v>45940</v>
      </c>
      <c r="I601" s="65">
        <v>46022</v>
      </c>
      <c r="J601" s="65">
        <v>46022</v>
      </c>
      <c r="K601" s="57">
        <v>9000000</v>
      </c>
      <c r="L601" s="28"/>
      <c r="M601" s="57">
        <v>9000000</v>
      </c>
      <c r="N601" s="28"/>
      <c r="O601" s="28"/>
      <c r="P601" s="28"/>
    </row>
    <row r="602" spans="1:16" ht="67.5" customHeight="1">
      <c r="A602" s="59" t="s">
        <v>2102</v>
      </c>
      <c r="B602" s="59" t="s">
        <v>366</v>
      </c>
      <c r="C602" s="59" t="s">
        <v>2103</v>
      </c>
      <c r="D602" s="60" t="s">
        <v>2104</v>
      </c>
      <c r="E602" s="20" t="s">
        <v>353</v>
      </c>
      <c r="F602" s="59" t="s">
        <v>2105</v>
      </c>
      <c r="G602" s="59">
        <v>1319</v>
      </c>
      <c r="H602" s="65">
        <v>45940</v>
      </c>
      <c r="I602" s="65">
        <v>46022</v>
      </c>
      <c r="J602" s="65">
        <v>46022</v>
      </c>
      <c r="K602" s="57">
        <v>105000000</v>
      </c>
      <c r="L602" s="28"/>
      <c r="M602" s="57">
        <v>105000000</v>
      </c>
      <c r="N602" s="28"/>
      <c r="O602" s="28"/>
      <c r="P602" s="28"/>
    </row>
    <row r="603" spans="1:16" ht="67.5" customHeight="1">
      <c r="A603" s="59" t="s">
        <v>2106</v>
      </c>
      <c r="B603" s="79" t="s">
        <v>2107</v>
      </c>
      <c r="C603" s="60" t="s">
        <v>1252</v>
      </c>
      <c r="D603" s="60">
        <v>1114209881</v>
      </c>
      <c r="E603" s="20" t="s">
        <v>353</v>
      </c>
      <c r="F603" s="61" t="s">
        <v>2108</v>
      </c>
      <c r="G603" s="79">
        <v>1320</v>
      </c>
      <c r="H603" s="65">
        <v>45940</v>
      </c>
      <c r="I603" s="81">
        <v>46022</v>
      </c>
      <c r="J603" s="81">
        <v>46022</v>
      </c>
      <c r="K603" s="66">
        <v>9000000</v>
      </c>
      <c r="L603" s="28"/>
      <c r="M603" s="66">
        <v>9000000</v>
      </c>
      <c r="N603" s="28"/>
      <c r="O603" s="28"/>
      <c r="P603" s="28"/>
    </row>
    <row r="604" spans="1:16" ht="67.5" customHeight="1">
      <c r="A604" s="59" t="s">
        <v>2109</v>
      </c>
      <c r="B604" s="79" t="s">
        <v>1894</v>
      </c>
      <c r="C604" s="60" t="s">
        <v>295</v>
      </c>
      <c r="D604" s="60">
        <v>66871683</v>
      </c>
      <c r="E604" s="79" t="s">
        <v>1562</v>
      </c>
      <c r="F604" s="59" t="s">
        <v>2110</v>
      </c>
      <c r="G604" s="59">
        <v>1324</v>
      </c>
      <c r="H604" s="65">
        <v>45945</v>
      </c>
      <c r="I604" s="81">
        <v>46022</v>
      </c>
      <c r="J604" s="81">
        <v>46022</v>
      </c>
      <c r="K604" s="66">
        <v>7467600</v>
      </c>
      <c r="L604" s="28"/>
      <c r="M604" s="66">
        <v>7467600</v>
      </c>
      <c r="N604" s="28"/>
      <c r="O604" s="28"/>
      <c r="P604" s="28"/>
    </row>
    <row r="605" spans="1:16" ht="67.5" customHeight="1">
      <c r="A605" s="59" t="s">
        <v>2214</v>
      </c>
      <c r="B605" s="1" t="s">
        <v>1971</v>
      </c>
      <c r="C605" s="16" t="s">
        <v>441</v>
      </c>
      <c r="D605" s="16">
        <v>1116434150</v>
      </c>
      <c r="E605" s="80" t="s">
        <v>353</v>
      </c>
      <c r="F605" s="15" t="s">
        <v>2215</v>
      </c>
      <c r="G605" s="15">
        <v>1350</v>
      </c>
      <c r="H605" s="10">
        <v>45959</v>
      </c>
      <c r="I605" s="14">
        <v>46022</v>
      </c>
      <c r="J605" s="14">
        <v>46022</v>
      </c>
      <c r="K605" s="13">
        <v>6000000</v>
      </c>
      <c r="L605" s="28"/>
      <c r="M605" s="13">
        <v>6000000</v>
      </c>
      <c r="N605" s="28"/>
      <c r="O605" s="28"/>
      <c r="P605" s="28"/>
    </row>
    <row r="606" spans="1:16" ht="67.5" customHeight="1">
      <c r="A606" s="59" t="s">
        <v>2216</v>
      </c>
      <c r="B606" s="2" t="s">
        <v>1971</v>
      </c>
      <c r="C606" s="12" t="s">
        <v>451</v>
      </c>
      <c r="D606" s="12">
        <v>1113778353</v>
      </c>
      <c r="E606" s="11" t="s">
        <v>361</v>
      </c>
      <c r="F606" s="11" t="s">
        <v>2217</v>
      </c>
      <c r="G606" s="11">
        <v>1351</v>
      </c>
      <c r="H606" s="10">
        <v>45959</v>
      </c>
      <c r="I606" s="14">
        <v>46022</v>
      </c>
      <c r="J606" s="14">
        <v>46022</v>
      </c>
      <c r="K606" s="13">
        <v>6000000</v>
      </c>
      <c r="L606" s="28"/>
      <c r="M606" s="13">
        <v>6000000</v>
      </c>
      <c r="N606" s="28"/>
      <c r="O606" s="28"/>
      <c r="P606" s="28"/>
    </row>
    <row r="607" spans="1:16" ht="67.5" customHeight="1">
      <c r="A607" s="59" t="s">
        <v>2218</v>
      </c>
      <c r="B607" s="2" t="s">
        <v>2219</v>
      </c>
      <c r="C607" s="12" t="s">
        <v>2220</v>
      </c>
      <c r="D607" s="12">
        <v>1088734527</v>
      </c>
      <c r="E607" s="11" t="s">
        <v>361</v>
      </c>
      <c r="F607" s="11" t="s">
        <v>2221</v>
      </c>
      <c r="G607" s="11">
        <v>1352</v>
      </c>
      <c r="H607" s="10">
        <v>45959</v>
      </c>
      <c r="I607" s="10">
        <v>46022</v>
      </c>
      <c r="J607" s="10">
        <v>46022</v>
      </c>
      <c r="K607" s="13">
        <v>4000000</v>
      </c>
      <c r="L607" s="28"/>
      <c r="M607" s="13">
        <v>4000000</v>
      </c>
      <c r="N607" s="28"/>
      <c r="O607" s="28"/>
      <c r="P607" s="28"/>
    </row>
    <row r="608" spans="1:16" ht="67.5" customHeight="1">
      <c r="A608" s="59" t="s">
        <v>2222</v>
      </c>
      <c r="B608" s="2" t="s">
        <v>2219</v>
      </c>
      <c r="C608" s="12" t="s">
        <v>2223</v>
      </c>
      <c r="D608" s="12">
        <v>1113783274</v>
      </c>
      <c r="E608" s="11" t="s">
        <v>361</v>
      </c>
      <c r="F608" s="11" t="s">
        <v>2224</v>
      </c>
      <c r="G608" s="11">
        <v>1353</v>
      </c>
      <c r="H608" s="10">
        <v>45959</v>
      </c>
      <c r="I608" s="10">
        <v>46022</v>
      </c>
      <c r="J608" s="10">
        <v>46022</v>
      </c>
      <c r="K608" s="13">
        <v>4000000</v>
      </c>
      <c r="L608" s="28"/>
      <c r="M608" s="13">
        <v>4000000</v>
      </c>
      <c r="N608" s="28"/>
      <c r="O608" s="28"/>
      <c r="P608" s="28"/>
    </row>
    <row r="609" spans="1:16" ht="67.5" customHeight="1">
      <c r="A609" s="59" t="s">
        <v>2225</v>
      </c>
      <c r="B609" s="2" t="s">
        <v>2219</v>
      </c>
      <c r="C609" s="20" t="s">
        <v>1222</v>
      </c>
      <c r="D609" s="12">
        <v>16550856</v>
      </c>
      <c r="E609" s="11" t="s">
        <v>361</v>
      </c>
      <c r="F609" s="11" t="s">
        <v>1969</v>
      </c>
      <c r="G609" s="11">
        <v>1354</v>
      </c>
      <c r="H609" s="10">
        <v>45959</v>
      </c>
      <c r="I609" s="10">
        <v>46022</v>
      </c>
      <c r="J609" s="10">
        <v>46022</v>
      </c>
      <c r="K609" s="13">
        <v>4000000</v>
      </c>
      <c r="L609" s="28"/>
      <c r="M609" s="13">
        <v>4000000</v>
      </c>
      <c r="N609" s="28"/>
      <c r="O609" s="28"/>
      <c r="P609" s="28"/>
    </row>
    <row r="610" spans="1:16" ht="67.5" customHeight="1">
      <c r="A610" s="2" t="s">
        <v>2237</v>
      </c>
      <c r="B610" s="2" t="s">
        <v>2238</v>
      </c>
      <c r="C610" s="2" t="s">
        <v>2239</v>
      </c>
      <c r="D610" s="2">
        <v>1005872088</v>
      </c>
      <c r="E610" s="69" t="s">
        <v>361</v>
      </c>
      <c r="F610" s="2" t="s">
        <v>2213</v>
      </c>
      <c r="G610" s="2">
        <v>1391</v>
      </c>
      <c r="H610" s="3">
        <v>45965</v>
      </c>
      <c r="I610" s="7">
        <v>46022</v>
      </c>
      <c r="J610" s="7">
        <v>46022</v>
      </c>
      <c r="K610" s="6">
        <v>5746000</v>
      </c>
      <c r="L610" s="28"/>
      <c r="M610" s="6">
        <v>5746000</v>
      </c>
      <c r="N610" s="28"/>
      <c r="O610" s="28"/>
      <c r="P610" s="28"/>
    </row>
    <row r="611" spans="1:16" ht="67.5" customHeight="1">
      <c r="A611" s="2" t="s">
        <v>2244</v>
      </c>
      <c r="B611" s="2" t="s">
        <v>2107</v>
      </c>
      <c r="C611" s="2" t="s">
        <v>1509</v>
      </c>
      <c r="D611" s="2">
        <v>38795407</v>
      </c>
      <c r="E611" s="69" t="s">
        <v>353</v>
      </c>
      <c r="F611" s="2" t="s">
        <v>2245</v>
      </c>
      <c r="G611" s="2">
        <v>1392</v>
      </c>
      <c r="H611" s="3">
        <v>45967</v>
      </c>
      <c r="I611" s="7">
        <v>46022</v>
      </c>
      <c r="J611" s="7">
        <v>46022</v>
      </c>
      <c r="K611" s="6">
        <v>6000000</v>
      </c>
      <c r="L611" s="28"/>
      <c r="M611" s="6">
        <v>6000000</v>
      </c>
      <c r="N611" s="28"/>
      <c r="O611" s="28"/>
      <c r="P611" s="28"/>
    </row>
    <row r="612" spans="1:16" ht="67.5" customHeight="1">
      <c r="A612" s="2" t="s">
        <v>2246</v>
      </c>
      <c r="B612" s="2" t="s">
        <v>2247</v>
      </c>
      <c r="C612" s="2" t="s">
        <v>2248</v>
      </c>
      <c r="D612" s="2">
        <v>30236333</v>
      </c>
      <c r="E612" s="69" t="s">
        <v>353</v>
      </c>
      <c r="F612" s="2" t="s">
        <v>1636</v>
      </c>
      <c r="G612" s="2">
        <v>1393</v>
      </c>
      <c r="H612" s="3">
        <v>45967</v>
      </c>
      <c r="I612" s="7">
        <v>46022</v>
      </c>
      <c r="J612" s="7">
        <v>46022</v>
      </c>
      <c r="K612" s="6">
        <v>35340000</v>
      </c>
      <c r="L612" s="28"/>
      <c r="M612" s="6">
        <v>35340000</v>
      </c>
      <c r="N612" s="28"/>
      <c r="O612" s="28"/>
      <c r="P612" s="28"/>
    </row>
    <row r="613" spans="1:16" ht="67.5" customHeight="1">
      <c r="A613" s="2" t="s">
        <v>2249</v>
      </c>
      <c r="B613" s="2" t="s">
        <v>2250</v>
      </c>
      <c r="C613" s="2" t="s">
        <v>2251</v>
      </c>
      <c r="D613" s="2">
        <v>66702360</v>
      </c>
      <c r="E613" s="69" t="s">
        <v>361</v>
      </c>
      <c r="F613" s="2" t="s">
        <v>2252</v>
      </c>
      <c r="G613" s="2">
        <v>1394</v>
      </c>
      <c r="H613" s="3">
        <v>45967</v>
      </c>
      <c r="I613" s="7">
        <v>46022</v>
      </c>
      <c r="J613" s="7">
        <v>46022</v>
      </c>
      <c r="K613" s="6">
        <v>4855604</v>
      </c>
      <c r="L613" s="28"/>
      <c r="M613" s="6">
        <v>4855604</v>
      </c>
      <c r="N613" s="28"/>
      <c r="O613" s="28"/>
      <c r="P613" s="28"/>
    </row>
    <row r="614" spans="1:16" ht="67.5" customHeight="1">
      <c r="A614" s="2" t="s">
        <v>2253</v>
      </c>
      <c r="B614" s="2" t="s">
        <v>2256</v>
      </c>
      <c r="C614" s="2" t="s">
        <v>471</v>
      </c>
      <c r="D614" s="2" t="s">
        <v>472</v>
      </c>
      <c r="E614" s="69" t="s">
        <v>361</v>
      </c>
      <c r="F614" s="2" t="s">
        <v>2257</v>
      </c>
      <c r="G614" s="2">
        <v>1395</v>
      </c>
      <c r="H614" s="3">
        <v>45967</v>
      </c>
      <c r="I614" s="7">
        <v>46022</v>
      </c>
      <c r="J614" s="7">
        <v>46022</v>
      </c>
      <c r="K614" s="6">
        <v>78339083</v>
      </c>
      <c r="L614" s="28"/>
      <c r="M614" s="6">
        <v>78339083</v>
      </c>
      <c r="N614" s="28"/>
      <c r="O614" s="28"/>
      <c r="P614" s="28"/>
    </row>
    <row r="615" spans="1:16" ht="67.5" customHeight="1">
      <c r="A615" s="2" t="s">
        <v>2254</v>
      </c>
      <c r="B615" s="2" t="s">
        <v>2260</v>
      </c>
      <c r="C615" s="2" t="s">
        <v>2258</v>
      </c>
      <c r="D615" s="2">
        <v>1113785978</v>
      </c>
      <c r="E615" s="69" t="s">
        <v>353</v>
      </c>
      <c r="F615" s="2" t="s">
        <v>2259</v>
      </c>
      <c r="G615" s="2">
        <v>1396</v>
      </c>
      <c r="H615" s="76">
        <v>45967</v>
      </c>
      <c r="I615" s="4">
        <v>46022</v>
      </c>
      <c r="J615" s="4">
        <v>46022</v>
      </c>
      <c r="K615" s="5">
        <v>4000000</v>
      </c>
      <c r="L615" s="28"/>
      <c r="M615" s="5">
        <v>4000000</v>
      </c>
      <c r="N615" s="28"/>
      <c r="O615" s="28"/>
      <c r="P615" s="28"/>
    </row>
    <row r="616" spans="1:16" ht="67.5" customHeight="1">
      <c r="A616" s="2" t="s">
        <v>2255</v>
      </c>
      <c r="B616" s="2" t="s">
        <v>2261</v>
      </c>
      <c r="C616" s="2" t="s">
        <v>2248</v>
      </c>
      <c r="D616" s="2">
        <v>30236333</v>
      </c>
      <c r="E616" s="69" t="s">
        <v>353</v>
      </c>
      <c r="F616" s="2" t="s">
        <v>2262</v>
      </c>
      <c r="G616" s="2">
        <v>1397</v>
      </c>
      <c r="H616" s="3">
        <v>45967</v>
      </c>
      <c r="I616" s="7">
        <v>46022</v>
      </c>
      <c r="J616" s="7">
        <v>46022</v>
      </c>
      <c r="K616" s="6">
        <v>35340000</v>
      </c>
      <c r="L616" s="28"/>
      <c r="M616" s="6">
        <v>35340000</v>
      </c>
      <c r="N616" s="28"/>
      <c r="O616" s="28"/>
      <c r="P616" s="28"/>
    </row>
    <row r="617" spans="1:16" ht="67.5" customHeight="1">
      <c r="A617" s="2" t="s">
        <v>2263</v>
      </c>
      <c r="B617" s="2" t="s">
        <v>2264</v>
      </c>
      <c r="C617" s="2" t="s">
        <v>202</v>
      </c>
      <c r="D617" s="2">
        <v>1113782860</v>
      </c>
      <c r="E617" s="69" t="s">
        <v>353</v>
      </c>
      <c r="F617" s="2" t="s">
        <v>2265</v>
      </c>
      <c r="G617" s="2">
        <v>1411</v>
      </c>
      <c r="H617" s="3">
        <v>45967</v>
      </c>
      <c r="I617" s="7">
        <v>46022</v>
      </c>
      <c r="J617" s="7">
        <v>46022</v>
      </c>
      <c r="K617" s="6">
        <v>7000000</v>
      </c>
      <c r="L617" s="28"/>
      <c r="M617" s="6">
        <v>7000000</v>
      </c>
      <c r="N617" s="28"/>
      <c r="O617" s="28"/>
      <c r="P617" s="28"/>
    </row>
    <row r="618" spans="1:16" ht="67.5" customHeight="1">
      <c r="A618" s="2" t="s">
        <v>2270</v>
      </c>
      <c r="B618" s="2" t="s">
        <v>2273</v>
      </c>
      <c r="C618" s="2" t="s">
        <v>453</v>
      </c>
      <c r="D618" s="2">
        <v>1116448482</v>
      </c>
      <c r="E618" s="69" t="s">
        <v>353</v>
      </c>
      <c r="F618" s="2" t="s">
        <v>2272</v>
      </c>
      <c r="G618" s="2">
        <v>1412</v>
      </c>
      <c r="H618" s="3">
        <v>45979</v>
      </c>
      <c r="I618" s="7">
        <v>46022</v>
      </c>
      <c r="J618" s="7">
        <v>46022</v>
      </c>
      <c r="K618" s="6">
        <v>9500000</v>
      </c>
      <c r="L618" s="28"/>
      <c r="M618" s="6">
        <v>9500000</v>
      </c>
      <c r="N618" s="28"/>
      <c r="O618" s="28"/>
      <c r="P618" s="28"/>
    </row>
    <row r="619" spans="1:16" ht="67.5" customHeight="1">
      <c r="A619" s="2" t="s">
        <v>2271</v>
      </c>
      <c r="B619" s="2" t="s">
        <v>2274</v>
      </c>
      <c r="C619" s="2" t="s">
        <v>2275</v>
      </c>
      <c r="D619" s="2">
        <v>1006290277</v>
      </c>
      <c r="E619" s="69" t="s">
        <v>353</v>
      </c>
      <c r="F619" s="2" t="s">
        <v>2276</v>
      </c>
      <c r="G619" s="2">
        <v>1413</v>
      </c>
      <c r="H619" s="3">
        <v>45979</v>
      </c>
      <c r="I619" s="7">
        <v>46022</v>
      </c>
      <c r="J619" s="7">
        <v>46022</v>
      </c>
      <c r="K619" s="6">
        <v>9500000</v>
      </c>
      <c r="L619" s="28"/>
      <c r="M619" s="6">
        <v>9500000</v>
      </c>
      <c r="N619" s="28"/>
      <c r="O619" s="28"/>
      <c r="P619" s="28"/>
    </row>
    <row r="620" spans="1:16" ht="67.5" customHeight="1">
      <c r="A620" s="19" t="s">
        <v>2111</v>
      </c>
      <c r="B620" s="20" t="s">
        <v>408</v>
      </c>
      <c r="C620" s="20" t="s">
        <v>409</v>
      </c>
      <c r="D620" s="20" t="s">
        <v>2112</v>
      </c>
      <c r="E620" s="20" t="s">
        <v>372</v>
      </c>
      <c r="F620" s="19" t="s">
        <v>2113</v>
      </c>
      <c r="G620" s="19" t="s">
        <v>2114</v>
      </c>
      <c r="H620" s="24">
        <v>45674</v>
      </c>
      <c r="I620" s="24">
        <v>46022</v>
      </c>
      <c r="J620" s="24">
        <v>46022</v>
      </c>
      <c r="K620" s="25">
        <v>37000000</v>
      </c>
      <c r="L620" s="25">
        <v>18000000</v>
      </c>
      <c r="M620" s="25">
        <f>K620+L620</f>
        <v>55000000</v>
      </c>
      <c r="N620" s="24">
        <v>45919</v>
      </c>
      <c r="O620" s="27" t="s">
        <v>2115</v>
      </c>
      <c r="P620" s="27" t="s">
        <v>2116</v>
      </c>
    </row>
    <row r="621" spans="1:16" ht="67.5" customHeight="1">
      <c r="A621" s="19" t="s">
        <v>2117</v>
      </c>
      <c r="B621" s="20" t="s">
        <v>373</v>
      </c>
      <c r="C621" s="33" t="s">
        <v>370</v>
      </c>
      <c r="D621" s="34" t="s">
        <v>371</v>
      </c>
      <c r="E621" s="20" t="s">
        <v>372</v>
      </c>
      <c r="F621" s="19" t="s">
        <v>2118</v>
      </c>
      <c r="G621" s="19" t="s">
        <v>2119</v>
      </c>
      <c r="H621" s="24">
        <v>45680</v>
      </c>
      <c r="I621" s="24">
        <v>45899</v>
      </c>
      <c r="J621" s="24">
        <v>46022</v>
      </c>
      <c r="K621" s="25">
        <v>1200000000</v>
      </c>
      <c r="L621" s="25">
        <v>600000000</v>
      </c>
      <c r="M621" s="25">
        <f>K621+L621</f>
        <v>1800000000</v>
      </c>
      <c r="N621" s="26" t="s">
        <v>2120</v>
      </c>
      <c r="O621" s="27" t="s">
        <v>2121</v>
      </c>
      <c r="P621" s="27" t="s">
        <v>2122</v>
      </c>
    </row>
    <row r="622" spans="1:16" ht="67.5" customHeight="1">
      <c r="A622" s="19" t="s">
        <v>2123</v>
      </c>
      <c r="B622" s="20" t="s">
        <v>499</v>
      </c>
      <c r="C622" s="20" t="s">
        <v>500</v>
      </c>
      <c r="D622" s="20" t="s">
        <v>501</v>
      </c>
      <c r="E622" s="20" t="s">
        <v>353</v>
      </c>
      <c r="F622" s="19" t="s">
        <v>2124</v>
      </c>
      <c r="G622" s="19" t="s">
        <v>2125</v>
      </c>
      <c r="H622" s="24">
        <v>45684</v>
      </c>
      <c r="I622" s="24">
        <v>45899</v>
      </c>
      <c r="J622" s="24">
        <v>45899</v>
      </c>
      <c r="K622" s="25">
        <v>60000000</v>
      </c>
      <c r="L622" s="25">
        <v>30000000</v>
      </c>
      <c r="M622" s="25">
        <f>K622+L622</f>
        <v>90000000</v>
      </c>
      <c r="N622" s="24">
        <v>45790</v>
      </c>
      <c r="O622" s="27" t="s">
        <v>2126</v>
      </c>
      <c r="P622" s="27" t="s">
        <v>2127</v>
      </c>
    </row>
    <row r="623" spans="1:16" ht="67.5" customHeight="1">
      <c r="A623" s="19" t="s">
        <v>2128</v>
      </c>
      <c r="B623" s="20" t="s">
        <v>382</v>
      </c>
      <c r="C623" s="20" t="s">
        <v>383</v>
      </c>
      <c r="D623" s="20">
        <v>29775675</v>
      </c>
      <c r="E623" s="20" t="s">
        <v>361</v>
      </c>
      <c r="F623" s="19" t="s">
        <v>2129</v>
      </c>
      <c r="G623" s="19" t="s">
        <v>2130</v>
      </c>
      <c r="H623" s="24">
        <v>45684</v>
      </c>
      <c r="I623" s="24">
        <v>46022</v>
      </c>
      <c r="J623" s="24">
        <v>46022</v>
      </c>
      <c r="K623" s="25">
        <v>90000000</v>
      </c>
      <c r="L623" s="25">
        <v>45000000</v>
      </c>
      <c r="M623" s="25">
        <f>90000000+L623</f>
        <v>135000000</v>
      </c>
      <c r="N623" s="24">
        <v>45877</v>
      </c>
      <c r="O623" s="27" t="s">
        <v>2131</v>
      </c>
      <c r="P623" s="19" t="s">
        <v>2132</v>
      </c>
    </row>
    <row r="624" spans="1:16" ht="67.5" customHeight="1">
      <c r="A624" s="19" t="s">
        <v>2133</v>
      </c>
      <c r="B624" s="20" t="s">
        <v>475</v>
      </c>
      <c r="C624" s="20" t="s">
        <v>476</v>
      </c>
      <c r="D624" s="20" t="s">
        <v>477</v>
      </c>
      <c r="E624" s="20" t="s">
        <v>353</v>
      </c>
      <c r="F624" s="19" t="s">
        <v>2134</v>
      </c>
      <c r="G624" s="19" t="s">
        <v>2135</v>
      </c>
      <c r="H624" s="24">
        <v>45687</v>
      </c>
      <c r="I624" s="24">
        <v>45899</v>
      </c>
      <c r="J624" s="24">
        <v>45961</v>
      </c>
      <c r="K624" s="25">
        <v>40000000</v>
      </c>
      <c r="L624" s="25">
        <f>15000000+5000000</f>
        <v>20000000</v>
      </c>
      <c r="M624" s="25">
        <f>40000000+L624</f>
        <v>60000000</v>
      </c>
      <c r="N624" s="26" t="s">
        <v>2136</v>
      </c>
      <c r="O624" s="19" t="s">
        <v>2137</v>
      </c>
      <c r="P624" s="19" t="s">
        <v>2138</v>
      </c>
    </row>
    <row r="625" spans="1:16" ht="67.5" customHeight="1">
      <c r="A625" s="19" t="s">
        <v>2139</v>
      </c>
      <c r="B625" s="20" t="s">
        <v>410</v>
      </c>
      <c r="C625" s="20" t="s">
        <v>411</v>
      </c>
      <c r="D625" s="20" t="s">
        <v>412</v>
      </c>
      <c r="E625" s="20" t="s">
        <v>399</v>
      </c>
      <c r="F625" s="19" t="s">
        <v>2140</v>
      </c>
      <c r="G625" s="19" t="s">
        <v>2141</v>
      </c>
      <c r="H625" s="31">
        <v>45325</v>
      </c>
      <c r="I625" s="24">
        <v>45899</v>
      </c>
      <c r="J625" s="24">
        <v>45961</v>
      </c>
      <c r="K625" s="25">
        <v>2113423000</v>
      </c>
      <c r="L625" s="25">
        <f>475000000+250000000</f>
        <v>725000000</v>
      </c>
      <c r="M625" s="25">
        <f>2113423000+L625</f>
        <v>2838423000</v>
      </c>
      <c r="N625" s="26" t="s">
        <v>2142</v>
      </c>
      <c r="O625" s="19" t="s">
        <v>2143</v>
      </c>
      <c r="P625" s="19" t="s">
        <v>2144</v>
      </c>
    </row>
    <row r="626" spans="1:16" ht="67.5" customHeight="1">
      <c r="A626" s="19" t="s">
        <v>2145</v>
      </c>
      <c r="B626" s="20" t="s">
        <v>499</v>
      </c>
      <c r="C626" s="20" t="s">
        <v>500</v>
      </c>
      <c r="D626" s="20" t="s">
        <v>501</v>
      </c>
      <c r="E626" s="20" t="s">
        <v>353</v>
      </c>
      <c r="F626" s="19" t="s">
        <v>2146</v>
      </c>
      <c r="G626" s="19" t="s">
        <v>2147</v>
      </c>
      <c r="H626" s="24">
        <v>45812</v>
      </c>
      <c r="I626" s="24">
        <v>46022</v>
      </c>
      <c r="J626" s="24">
        <v>46022</v>
      </c>
      <c r="K626" s="25">
        <v>105000000</v>
      </c>
      <c r="L626" s="25">
        <v>52500000</v>
      </c>
      <c r="M626" s="25">
        <f>105000000+L626</f>
        <v>157500000</v>
      </c>
      <c r="N626" s="24">
        <v>45911</v>
      </c>
      <c r="O626" s="27" t="s">
        <v>2148</v>
      </c>
      <c r="P626" s="27" t="s">
        <v>2149</v>
      </c>
    </row>
    <row r="627" spans="1:16" ht="67.5" customHeight="1">
      <c r="A627" s="68" t="s">
        <v>2212</v>
      </c>
      <c r="B627" s="9" t="s">
        <v>475</v>
      </c>
      <c r="C627" s="9" t="s">
        <v>476</v>
      </c>
      <c r="D627" s="9" t="s">
        <v>477</v>
      </c>
      <c r="E627" s="9" t="s">
        <v>353</v>
      </c>
      <c r="F627" s="11" t="s">
        <v>2226</v>
      </c>
      <c r="G627" s="11">
        <v>1366</v>
      </c>
      <c r="H627" s="10">
        <v>45958</v>
      </c>
      <c r="I627" s="10">
        <v>46022</v>
      </c>
      <c r="J627" s="10">
        <v>46022</v>
      </c>
      <c r="K627" s="13">
        <v>18500000</v>
      </c>
      <c r="L627" s="25"/>
      <c r="M627" s="13">
        <v>18500000</v>
      </c>
      <c r="N627" s="24"/>
      <c r="O627" s="27"/>
      <c r="P627" s="27"/>
    </row>
    <row r="628" spans="1:16" ht="67.5" customHeight="1">
      <c r="A628" s="2" t="s">
        <v>2240</v>
      </c>
      <c r="B628" s="2" t="s">
        <v>2241</v>
      </c>
      <c r="C628" s="2" t="s">
        <v>2242</v>
      </c>
      <c r="D628" s="2">
        <v>9007118026</v>
      </c>
      <c r="E628" s="69" t="s">
        <v>399</v>
      </c>
      <c r="F628" s="2" t="s">
        <v>2243</v>
      </c>
      <c r="G628" s="2">
        <v>1368</v>
      </c>
      <c r="H628" s="3">
        <v>45962</v>
      </c>
      <c r="I628" s="7">
        <v>46022</v>
      </c>
      <c r="J628" s="7">
        <v>46022</v>
      </c>
      <c r="K628" s="6">
        <v>500000000</v>
      </c>
      <c r="L628" s="28"/>
      <c r="M628" s="6">
        <v>500000000</v>
      </c>
      <c r="N628" s="28"/>
      <c r="O628" s="28"/>
      <c r="P628" s="28"/>
    </row>
    <row r="629" spans="1:16" ht="67.5" customHeight="1">
      <c r="A629" s="2" t="s">
        <v>2278</v>
      </c>
      <c r="B629" s="77" t="s">
        <v>499</v>
      </c>
      <c r="C629" s="77" t="s">
        <v>500</v>
      </c>
      <c r="D629" s="77" t="s">
        <v>501</v>
      </c>
      <c r="E629" s="20" t="s">
        <v>353</v>
      </c>
      <c r="F629" s="2" t="s">
        <v>2279</v>
      </c>
      <c r="G629" s="2">
        <v>1421</v>
      </c>
      <c r="H629" s="3">
        <v>45982</v>
      </c>
      <c r="I629" s="7">
        <v>46022</v>
      </c>
      <c r="J629" s="7">
        <v>46022</v>
      </c>
      <c r="K629" s="6">
        <v>62000000</v>
      </c>
      <c r="L629" s="28"/>
      <c r="M629" s="6">
        <v>62000000</v>
      </c>
      <c r="N629" s="28"/>
      <c r="O629" s="28"/>
      <c r="P629" s="28"/>
    </row>
    <row r="630" spans="1:16" ht="67.5" customHeight="1">
      <c r="A630" s="19" t="s">
        <v>2150</v>
      </c>
      <c r="B630" s="20" t="s">
        <v>445</v>
      </c>
      <c r="C630" s="20" t="s">
        <v>446</v>
      </c>
      <c r="D630" s="20" t="s">
        <v>447</v>
      </c>
      <c r="E630" s="20" t="s">
        <v>361</v>
      </c>
      <c r="F630" s="19" t="s">
        <v>2151</v>
      </c>
      <c r="G630" s="19" t="s">
        <v>2152</v>
      </c>
      <c r="H630" s="24">
        <v>45687</v>
      </c>
      <c r="I630" s="24">
        <v>46022</v>
      </c>
      <c r="J630" s="24">
        <v>46022</v>
      </c>
      <c r="K630" s="25">
        <v>139236137</v>
      </c>
      <c r="L630" s="28"/>
      <c r="M630" s="25">
        <v>139236137</v>
      </c>
      <c r="N630" s="28"/>
      <c r="O630" s="28"/>
      <c r="P630" s="28"/>
    </row>
    <row r="631" spans="1:16" ht="67.5" customHeight="1">
      <c r="A631" s="19" t="s">
        <v>2153</v>
      </c>
      <c r="B631" s="20" t="s">
        <v>2154</v>
      </c>
      <c r="C631" s="20" t="s">
        <v>503</v>
      </c>
      <c r="D631" s="20" t="s">
        <v>504</v>
      </c>
      <c r="E631" s="20" t="s">
        <v>353</v>
      </c>
      <c r="F631" s="19" t="s">
        <v>2155</v>
      </c>
      <c r="G631" s="19" t="s">
        <v>2156</v>
      </c>
      <c r="H631" s="24">
        <v>45659</v>
      </c>
      <c r="I631" s="24">
        <v>45900</v>
      </c>
      <c r="J631" s="24">
        <v>45900</v>
      </c>
      <c r="K631" s="25">
        <v>5410249000</v>
      </c>
      <c r="L631" s="25">
        <f>1620000000+70500000</f>
        <v>1690500000</v>
      </c>
      <c r="M631" s="25">
        <f>5410249000+L631</f>
        <v>7100749000</v>
      </c>
      <c r="N631" s="26" t="s">
        <v>2157</v>
      </c>
      <c r="O631" s="19" t="s">
        <v>2158</v>
      </c>
      <c r="P631" s="19" t="s">
        <v>2159</v>
      </c>
    </row>
    <row r="632" spans="1:16" ht="67.5" customHeight="1">
      <c r="A632" s="19" t="s">
        <v>2160</v>
      </c>
      <c r="B632" s="20" t="s">
        <v>2161</v>
      </c>
      <c r="C632" s="20" t="s">
        <v>503</v>
      </c>
      <c r="D632" s="20" t="s">
        <v>504</v>
      </c>
      <c r="E632" s="20" t="s">
        <v>361</v>
      </c>
      <c r="F632" s="19" t="s">
        <v>2162</v>
      </c>
      <c r="G632" s="19" t="s">
        <v>2163</v>
      </c>
      <c r="H632" s="24">
        <v>45659</v>
      </c>
      <c r="I632" s="24">
        <v>45900</v>
      </c>
      <c r="J632" s="24">
        <v>45900</v>
      </c>
      <c r="K632" s="25">
        <v>1603810000</v>
      </c>
      <c r="L632" s="25">
        <f>632500000+29812108</f>
        <v>662312108</v>
      </c>
      <c r="M632" s="25">
        <f>K632+L632</f>
        <v>2266122108</v>
      </c>
      <c r="N632" s="26" t="s">
        <v>2164</v>
      </c>
      <c r="O632" s="19" t="s">
        <v>2165</v>
      </c>
      <c r="P632" s="19" t="s">
        <v>2166</v>
      </c>
    </row>
    <row r="633" spans="1:16" ht="67.5" customHeight="1">
      <c r="A633" s="19" t="s">
        <v>2167</v>
      </c>
      <c r="B633" s="20" t="s">
        <v>505</v>
      </c>
      <c r="C633" s="20" t="s">
        <v>503</v>
      </c>
      <c r="D633" s="20" t="s">
        <v>504</v>
      </c>
      <c r="E633" s="20" t="s">
        <v>361</v>
      </c>
      <c r="F633" s="19" t="s">
        <v>2168</v>
      </c>
      <c r="G633" s="19" t="s">
        <v>2169</v>
      </c>
      <c r="H633" s="24">
        <v>45659</v>
      </c>
      <c r="I633" s="24">
        <v>45900</v>
      </c>
      <c r="J633" s="24">
        <v>45900</v>
      </c>
      <c r="K633" s="25">
        <v>216000000</v>
      </c>
      <c r="L633" s="25">
        <f>46000000+5324088</f>
        <v>51324088</v>
      </c>
      <c r="M633" s="25">
        <f>K633+L633</f>
        <v>267324088</v>
      </c>
      <c r="N633" s="26" t="s">
        <v>2170</v>
      </c>
      <c r="O633" s="19" t="s">
        <v>2171</v>
      </c>
      <c r="P633" s="19" t="s">
        <v>2172</v>
      </c>
    </row>
    <row r="634" spans="1:16" ht="67.5" customHeight="1">
      <c r="A634" s="43" t="s">
        <v>2173</v>
      </c>
      <c r="B634" s="53" t="s">
        <v>2174</v>
      </c>
      <c r="C634" s="20" t="s">
        <v>503</v>
      </c>
      <c r="D634" s="20" t="s">
        <v>504</v>
      </c>
      <c r="E634" s="20" t="s">
        <v>361</v>
      </c>
      <c r="F634" s="43" t="s">
        <v>2175</v>
      </c>
      <c r="G634" s="43">
        <v>1052</v>
      </c>
      <c r="H634" s="26">
        <v>45901</v>
      </c>
      <c r="I634" s="56">
        <v>45930</v>
      </c>
      <c r="J634" s="56">
        <v>45930</v>
      </c>
      <c r="K634" s="57">
        <v>65340206</v>
      </c>
      <c r="L634" s="28"/>
      <c r="M634" s="57">
        <v>65340206</v>
      </c>
      <c r="N634" s="28"/>
      <c r="O634" s="28"/>
      <c r="P634" s="28"/>
    </row>
    <row r="635" spans="1:16" ht="67.5" customHeight="1">
      <c r="A635" s="43" t="s">
        <v>2176</v>
      </c>
      <c r="B635" s="20" t="s">
        <v>2154</v>
      </c>
      <c r="C635" s="20" t="s">
        <v>503</v>
      </c>
      <c r="D635" s="20" t="s">
        <v>504</v>
      </c>
      <c r="E635" s="20" t="s">
        <v>353</v>
      </c>
      <c r="F635" s="19" t="s">
        <v>2177</v>
      </c>
      <c r="G635" s="43">
        <v>887</v>
      </c>
      <c r="H635" s="26">
        <v>45901</v>
      </c>
      <c r="I635" s="26">
        <v>45930</v>
      </c>
      <c r="J635" s="26">
        <v>45930</v>
      </c>
      <c r="K635" s="25">
        <v>391000000</v>
      </c>
      <c r="L635" s="28"/>
      <c r="M635" s="25">
        <v>391000000</v>
      </c>
      <c r="N635" s="28"/>
      <c r="O635" s="28"/>
      <c r="P635" s="28"/>
    </row>
    <row r="636" spans="1:16" ht="67.5" customHeight="1">
      <c r="A636" s="59" t="s">
        <v>2178</v>
      </c>
      <c r="B636" s="59" t="s">
        <v>2179</v>
      </c>
      <c r="C636" s="59" t="s">
        <v>503</v>
      </c>
      <c r="D636" s="60" t="s">
        <v>504</v>
      </c>
      <c r="E636" s="20" t="s">
        <v>361</v>
      </c>
      <c r="F636" s="59" t="s">
        <v>2180</v>
      </c>
      <c r="G636" s="59">
        <v>1321</v>
      </c>
      <c r="H636" s="65">
        <v>45940</v>
      </c>
      <c r="I636" s="65">
        <v>46022</v>
      </c>
      <c r="J636" s="65">
        <v>46022</v>
      </c>
      <c r="K636" s="66">
        <v>196020618</v>
      </c>
      <c r="L636" s="28"/>
      <c r="M636" s="66">
        <v>196020618</v>
      </c>
      <c r="N636" s="28"/>
      <c r="O636" s="28"/>
      <c r="P636" s="28"/>
    </row>
    <row r="637" spans="1:16" ht="67.5" customHeight="1">
      <c r="A637" s="59" t="s">
        <v>2181</v>
      </c>
      <c r="B637" s="59" t="s">
        <v>2154</v>
      </c>
      <c r="C637" s="59" t="s">
        <v>503</v>
      </c>
      <c r="D637" s="60" t="s">
        <v>504</v>
      </c>
      <c r="E637" s="20" t="s">
        <v>353</v>
      </c>
      <c r="F637" s="59" t="s">
        <v>2182</v>
      </c>
      <c r="G637" s="59">
        <v>1322</v>
      </c>
      <c r="H637" s="65">
        <v>45940</v>
      </c>
      <c r="I637" s="65">
        <v>46022</v>
      </c>
      <c r="J637" s="65">
        <v>46022</v>
      </c>
      <c r="K637" s="66">
        <v>700000000</v>
      </c>
      <c r="L637" s="28"/>
      <c r="M637" s="66">
        <v>700000000</v>
      </c>
      <c r="N637" s="28"/>
      <c r="O637" s="28"/>
      <c r="P637" s="28"/>
    </row>
    <row r="638" spans="1:16" ht="67.5" customHeight="1">
      <c r="A638" s="19" t="s">
        <v>2183</v>
      </c>
      <c r="B638" s="20" t="s">
        <v>2184</v>
      </c>
      <c r="C638" s="33" t="s">
        <v>471</v>
      </c>
      <c r="D638" s="36" t="s">
        <v>472</v>
      </c>
      <c r="E638" s="20" t="s">
        <v>356</v>
      </c>
      <c r="F638" s="19" t="s">
        <v>2185</v>
      </c>
      <c r="G638" s="19" t="s">
        <v>2186</v>
      </c>
      <c r="H638" s="24">
        <v>45750</v>
      </c>
      <c r="I638" s="24">
        <v>45780</v>
      </c>
      <c r="J638" s="24">
        <v>45780</v>
      </c>
      <c r="K638" s="25">
        <v>187931345</v>
      </c>
      <c r="L638" s="25">
        <v>10160000</v>
      </c>
      <c r="M638" s="25">
        <f>K638+L638</f>
        <v>198091345</v>
      </c>
      <c r="N638" s="67">
        <v>45770</v>
      </c>
      <c r="O638" s="21" t="s">
        <v>2187</v>
      </c>
      <c r="P638" s="27" t="s">
        <v>2188</v>
      </c>
    </row>
    <row r="639" spans="1:16" ht="67.5" customHeight="1">
      <c r="A639" s="19" t="s">
        <v>2189</v>
      </c>
      <c r="B639" s="20" t="s">
        <v>2190</v>
      </c>
      <c r="C639" s="19" t="s">
        <v>2191</v>
      </c>
      <c r="D639" s="19" t="s">
        <v>2192</v>
      </c>
      <c r="E639" s="20" t="s">
        <v>361</v>
      </c>
      <c r="F639" s="19" t="s">
        <v>2193</v>
      </c>
      <c r="G639" s="19" t="s">
        <v>2194</v>
      </c>
      <c r="H639" s="24">
        <v>45842</v>
      </c>
      <c r="I639" s="24">
        <v>45995</v>
      </c>
      <c r="J639" s="24">
        <v>45995</v>
      </c>
      <c r="K639" s="25">
        <v>177000000</v>
      </c>
      <c r="L639" s="28"/>
      <c r="M639" s="25">
        <v>177000000</v>
      </c>
      <c r="N639" s="28"/>
      <c r="O639" s="28"/>
      <c r="P639" s="28"/>
    </row>
    <row r="640" spans="1:16" ht="67.5" customHeight="1">
      <c r="A640" s="2" t="s">
        <v>2280</v>
      </c>
      <c r="B640" s="2" t="s">
        <v>2231</v>
      </c>
      <c r="C640" s="2" t="s">
        <v>2281</v>
      </c>
      <c r="D640" s="2" t="s">
        <v>2282</v>
      </c>
      <c r="E640" s="69" t="s">
        <v>361</v>
      </c>
      <c r="F640" s="2" t="s">
        <v>2232</v>
      </c>
      <c r="G640" s="2">
        <v>1419</v>
      </c>
      <c r="H640" s="3">
        <v>45981</v>
      </c>
      <c r="I640" s="7">
        <v>46022</v>
      </c>
      <c r="J640" s="7">
        <v>46022</v>
      </c>
      <c r="K640" s="6">
        <v>363013030</v>
      </c>
      <c r="L640" s="28"/>
      <c r="M640" s="6">
        <v>363013030</v>
      </c>
      <c r="N640" s="28"/>
      <c r="O640" s="28"/>
      <c r="P640" s="28"/>
    </row>
    <row r="641" spans="1:16" ht="67.5" customHeight="1">
      <c r="A641" s="19" t="s">
        <v>2195</v>
      </c>
      <c r="B641" s="20" t="s">
        <v>2196</v>
      </c>
      <c r="C641" s="27" t="s">
        <v>674</v>
      </c>
      <c r="D641" s="27" t="s">
        <v>675</v>
      </c>
      <c r="E641" s="20" t="s">
        <v>361</v>
      </c>
      <c r="F641" s="19" t="s">
        <v>2197</v>
      </c>
      <c r="G641" s="19" t="s">
        <v>2198</v>
      </c>
      <c r="H641" s="24">
        <v>45733</v>
      </c>
      <c r="I641" s="24">
        <v>46022</v>
      </c>
      <c r="J641" s="24">
        <v>46022</v>
      </c>
      <c r="K641" s="25">
        <v>19217310</v>
      </c>
      <c r="L641" s="28"/>
      <c r="M641" s="25">
        <v>19217310</v>
      </c>
      <c r="N641" s="28"/>
      <c r="O641" s="28"/>
      <c r="P641" s="28"/>
    </row>
    <row r="642" spans="1:16" ht="67.5" customHeight="1">
      <c r="A642" s="19" t="s">
        <v>2199</v>
      </c>
      <c r="B642" s="20" t="s">
        <v>474</v>
      </c>
      <c r="C642" s="33" t="s">
        <v>471</v>
      </c>
      <c r="D642" s="36" t="s">
        <v>472</v>
      </c>
      <c r="E642" s="20" t="s">
        <v>470</v>
      </c>
      <c r="F642" s="19" t="s">
        <v>2200</v>
      </c>
      <c r="G642" s="19" t="s">
        <v>2201</v>
      </c>
      <c r="H642" s="24">
        <v>45688</v>
      </c>
      <c r="I642" s="24">
        <v>45900</v>
      </c>
      <c r="J642" s="24">
        <v>46021</v>
      </c>
      <c r="K642" s="25">
        <v>136000000</v>
      </c>
      <c r="L642" s="28"/>
      <c r="M642" s="25">
        <v>136000000</v>
      </c>
      <c r="N642" s="26">
        <v>45894</v>
      </c>
      <c r="O642" s="28"/>
      <c r="P642" s="28"/>
    </row>
    <row r="643" spans="1:16" ht="67.5" customHeight="1">
      <c r="A643" s="19" t="s">
        <v>2202</v>
      </c>
      <c r="B643" s="20" t="s">
        <v>2203</v>
      </c>
      <c r="C643" s="20" t="s">
        <v>2204</v>
      </c>
      <c r="D643" s="20">
        <v>31404561</v>
      </c>
      <c r="E643" s="20" t="s">
        <v>361</v>
      </c>
      <c r="F643" s="19" t="s">
        <v>2205</v>
      </c>
      <c r="G643" s="19" t="s">
        <v>2206</v>
      </c>
      <c r="H643" s="26">
        <v>45897</v>
      </c>
      <c r="I643" s="26">
        <v>46022</v>
      </c>
      <c r="J643" s="26">
        <v>46022</v>
      </c>
      <c r="K643" s="25">
        <v>98100000</v>
      </c>
      <c r="L643" s="28"/>
      <c r="M643" s="25">
        <v>98100000</v>
      </c>
      <c r="N643" s="28"/>
      <c r="O643" s="28"/>
      <c r="P643" s="28"/>
    </row>
    <row r="644" spans="1:16" ht="67.5" customHeight="1">
      <c r="A644" s="43" t="s">
        <v>2207</v>
      </c>
      <c r="B644" s="53" t="s">
        <v>2208</v>
      </c>
      <c r="C644" s="33" t="s">
        <v>2209</v>
      </c>
      <c r="D644" s="36" t="s">
        <v>2210</v>
      </c>
      <c r="E644" s="20" t="s">
        <v>361</v>
      </c>
      <c r="F644" s="19" t="s">
        <v>2211</v>
      </c>
      <c r="G644" s="43">
        <v>893</v>
      </c>
      <c r="H644" s="56">
        <v>45915</v>
      </c>
      <c r="I644" s="56">
        <v>46022</v>
      </c>
      <c r="J644" s="56">
        <v>46022</v>
      </c>
      <c r="K644" s="57">
        <v>80447400</v>
      </c>
      <c r="L644" s="28"/>
      <c r="M644" s="57">
        <v>80447400</v>
      </c>
      <c r="N644" s="28"/>
      <c r="O644" s="28"/>
      <c r="P644" s="28"/>
    </row>
  </sheetData>
  <autoFilter ref="A1:P644" xr:uid="{00000000-0009-0000-0000-000005000000}">
    <sortState xmlns:xlrd2="http://schemas.microsoft.com/office/spreadsheetml/2017/richdata2" ref="A2:P644">
      <sortCondition ref="A1:A629"/>
    </sortState>
  </autoFilter>
  <pageMargins left="0.69930555555555596" right="0.69930555555555596" top="0.75" bottom="0.75" header="0.3" footer="0.3"/>
  <pageSetup paperSize="9" scale="10" orientation="portrait" r:id="rId1"/>
  <rowBreaks count="1" manualBreakCount="1">
    <brk id="114" max="7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CONSOLIDADO </vt:lpstr>
      <vt:lpstr>'CONSOLIDADO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Auxcontratacion hdsa</cp:lastModifiedBy>
  <cp:lastPrinted>2025-07-17T19:08:00Z</cp:lastPrinted>
  <dcterms:created xsi:type="dcterms:W3CDTF">2019-01-21T13:49:00Z</dcterms:created>
  <dcterms:modified xsi:type="dcterms:W3CDTF">2025-12-03T12:51:22Z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3082-12.2.0.23155</vt:lpwstr>
  </property>
  <property fmtid="{D5CDD505-2E9C-101B-9397-08002B2CF9AE}" pid="3" name="KSOReadingLayout">
    <vt:bool>false</vt:bool>
  </property>
  <property fmtid="{D5CDD505-2E9C-101B-9397-08002B2CF9AE}" pid="4" name="ICV">
    <vt:lpwstr>347C309C7B664D04B2C67D16DC24508E_13</vt:lpwstr>
  </property>
</Properties>
</file>